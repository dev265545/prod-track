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EV STOCK NEW DT-3.1.2025\DT-21.1.2026\"/>
    </mc:Choice>
  </mc:AlternateContent>
  <xr:revisionPtr revIDLastSave="0" documentId="8_{616A5DB5-5F93-C24D-A6A9-6F9A95944330}" xr6:coauthVersionLast="47" xr6:coauthVersionMax="47" xr10:uidLastSave="{00000000-0000-0000-0000-000000000000}"/>
  <bookViews>
    <workbookView xWindow="-120" yWindow="-120" windowWidth="20730" windowHeight="11040" tabRatio="604" xr2:uid="{00000000-000D-0000-FFFF-FFFF00000000}"/>
  </bookViews>
  <sheets>
    <sheet name="Box, Dana, Poly (4)" sheetId="13" r:id="rId1"/>
    <sheet name="Container (3)" sheetId="10" r:id="rId2"/>
    <sheet name="Sticker (2)" sheetId="9" r:id="rId3"/>
    <sheet name="Sheet1" sheetId="15" r:id="rId4"/>
    <sheet name="Glass" sheetId="14" r:id="rId5"/>
  </sheets>
  <definedNames>
    <definedName name="_xlnm.Print_Area" localSheetId="0">'Box, Dana, Poly (4)'!$A$1:$H$69</definedName>
    <definedName name="_xlnm.Print_Area" localSheetId="1">'Container (3)'!$A$1:$H$87</definedName>
    <definedName name="_xlnm.Print_Area" localSheetId="4">Glass!$A$1:$H$68</definedName>
    <definedName name="_xlnm.Print_Area" localSheetId="2">'Sticker (2)'!$A$1:$H$75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5" i="13" l="1"/>
  <c r="F95" i="13"/>
  <c r="G94" i="13"/>
  <c r="F94" i="13"/>
  <c r="H99" i="13"/>
  <c r="A99" i="13"/>
  <c r="H84" i="13"/>
  <c r="A84" i="13"/>
  <c r="H83" i="13"/>
  <c r="A83" i="13"/>
  <c r="H82" i="13"/>
  <c r="A82" i="13"/>
  <c r="H81" i="13"/>
  <c r="A81" i="13"/>
  <c r="H80" i="13"/>
  <c r="A80" i="13"/>
  <c r="F96" i="13"/>
  <c r="A1" i="14" a="1"/>
  <c r="A1" i="14"/>
  <c r="G9" i="10"/>
  <c r="H9" i="10"/>
  <c r="F68" i="13"/>
  <c r="G80" i="14"/>
  <c r="H80" i="14"/>
  <c r="G90" i="10"/>
  <c r="H90" i="10"/>
  <c r="F70" i="13"/>
  <c r="G70" i="13"/>
  <c r="H33" i="13"/>
  <c r="H35" i="13"/>
  <c r="G98" i="13"/>
  <c r="G97" i="13"/>
  <c r="G96" i="13"/>
  <c r="F98" i="13"/>
  <c r="H98" i="13"/>
  <c r="F97" i="13"/>
  <c r="G59" i="13"/>
  <c r="F59" i="13"/>
  <c r="H79" i="13"/>
  <c r="A79" i="13"/>
  <c r="H78" i="13"/>
  <c r="A78" i="13"/>
  <c r="H77" i="13"/>
  <c r="A77" i="13"/>
  <c r="H76" i="13"/>
  <c r="A76" i="13"/>
  <c r="G75" i="14"/>
  <c r="H75" i="14"/>
  <c r="G74" i="14"/>
  <c r="H74" i="14"/>
  <c r="G73" i="14"/>
  <c r="H73" i="14"/>
  <c r="G76" i="14"/>
  <c r="H76" i="14"/>
  <c r="G72" i="14"/>
  <c r="H72" i="14"/>
  <c r="G71" i="14"/>
  <c r="H71" i="14"/>
  <c r="H92" i="13"/>
  <c r="A92" i="13"/>
  <c r="H91" i="13"/>
  <c r="A91" i="13"/>
  <c r="H90" i="13"/>
  <c r="A90" i="13"/>
  <c r="H89" i="13"/>
  <c r="A89" i="13"/>
  <c r="H88" i="13"/>
  <c r="A88" i="13"/>
  <c r="H87" i="13"/>
  <c r="A87" i="13"/>
  <c r="H85" i="13"/>
  <c r="A85" i="13"/>
  <c r="H75" i="13"/>
  <c r="A75" i="13"/>
  <c r="H74" i="13"/>
  <c r="A74" i="13"/>
  <c r="H73" i="13"/>
  <c r="A73" i="13"/>
  <c r="G78" i="14"/>
  <c r="H78" i="14"/>
  <c r="G79" i="14"/>
  <c r="H79" i="14"/>
  <c r="G77" i="14"/>
  <c r="H77" i="14"/>
  <c r="G69" i="14"/>
  <c r="H69" i="14"/>
  <c r="G49" i="14"/>
  <c r="G53" i="10"/>
  <c r="G38" i="14"/>
  <c r="G22" i="10"/>
  <c r="G50" i="14"/>
  <c r="H17" i="13"/>
  <c r="H40" i="13"/>
  <c r="G54" i="10"/>
  <c r="H102" i="13"/>
  <c r="A102" i="13"/>
  <c r="H101" i="13"/>
  <c r="A101" i="13"/>
  <c r="H38" i="13"/>
  <c r="G89" i="10"/>
  <c r="H89" i="10"/>
  <c r="G60" i="14"/>
  <c r="G59" i="14"/>
  <c r="G57" i="14"/>
  <c r="G68" i="13"/>
  <c r="G69" i="13"/>
  <c r="G53" i="13"/>
  <c r="H39" i="13"/>
  <c r="H37" i="13"/>
  <c r="H45" i="13"/>
  <c r="G56" i="14"/>
  <c r="G55" i="14"/>
  <c r="G19" i="10"/>
  <c r="G88" i="10"/>
  <c r="H88" i="10"/>
  <c r="G87" i="10"/>
  <c r="H87" i="10"/>
  <c r="G86" i="10"/>
  <c r="H86" i="10"/>
  <c r="G15" i="10"/>
  <c r="H15" i="10"/>
  <c r="G85" i="10"/>
  <c r="H85" i="10"/>
  <c r="G84" i="10"/>
  <c r="H84" i="10"/>
  <c r="G82" i="10"/>
  <c r="H82" i="10"/>
  <c r="G83" i="10"/>
  <c r="H83" i="10"/>
  <c r="G80" i="10"/>
  <c r="H80" i="10"/>
  <c r="G81" i="10"/>
  <c r="H81" i="10"/>
  <c r="G78" i="10"/>
  <c r="G79" i="10"/>
  <c r="G8" i="10"/>
  <c r="G43" i="10"/>
  <c r="G8" i="14"/>
  <c r="H70" i="13"/>
  <c r="A70" i="13"/>
  <c r="H97" i="13"/>
  <c r="A97" i="13"/>
  <c r="H96" i="13"/>
  <c r="A96" i="13"/>
  <c r="H95" i="13"/>
  <c r="A95" i="13"/>
  <c r="A98" i="13"/>
  <c r="H100" i="13"/>
  <c r="A100" i="13"/>
  <c r="H94" i="13"/>
  <c r="A94" i="13"/>
  <c r="G75" i="9"/>
  <c r="H75" i="9"/>
  <c r="G74" i="9"/>
  <c r="H74" i="9"/>
  <c r="G73" i="9"/>
  <c r="H73" i="9"/>
  <c r="G72" i="9"/>
  <c r="H72" i="9"/>
  <c r="G71" i="9"/>
  <c r="H71" i="9"/>
  <c r="G70" i="9"/>
  <c r="H70" i="9"/>
  <c r="G69" i="9"/>
  <c r="H69" i="9"/>
  <c r="G68" i="9"/>
  <c r="H68" i="9"/>
  <c r="G68" i="14"/>
  <c r="H68" i="14"/>
  <c r="G67" i="14"/>
  <c r="H67" i="14"/>
  <c r="G66" i="14"/>
  <c r="H66" i="14"/>
  <c r="G64" i="14"/>
  <c r="H64" i="14"/>
  <c r="G63" i="14"/>
  <c r="H63" i="14"/>
  <c r="G62" i="14"/>
  <c r="H62" i="14"/>
  <c r="G61" i="14"/>
  <c r="H61" i="14"/>
  <c r="G54" i="14"/>
  <c r="H54" i="14"/>
  <c r="G53" i="14"/>
  <c r="H53" i="14"/>
  <c r="G52" i="14"/>
  <c r="H52" i="14"/>
  <c r="G51" i="14"/>
  <c r="H51" i="14"/>
  <c r="H51" i="13"/>
  <c r="H59" i="13"/>
  <c r="H25" i="13"/>
  <c r="H44" i="13"/>
  <c r="G43" i="9"/>
  <c r="G30" i="9"/>
  <c r="G37" i="9"/>
  <c r="G65" i="13"/>
  <c r="G66" i="13"/>
  <c r="F65" i="13"/>
  <c r="F66" i="13"/>
  <c r="A25" i="13"/>
  <c r="A44" i="13"/>
  <c r="A51" i="13"/>
  <c r="H78" i="10"/>
  <c r="H43" i="10"/>
  <c r="H79" i="10"/>
  <c r="H8" i="14"/>
  <c r="H38" i="14"/>
  <c r="H45" i="14"/>
  <c r="H16" i="9"/>
  <c r="H30" i="9"/>
  <c r="H31" i="9"/>
  <c r="H37" i="9"/>
  <c r="H43" i="9"/>
  <c r="G4" i="9"/>
  <c r="H4" i="9"/>
  <c r="G5" i="9"/>
  <c r="H5" i="9"/>
  <c r="G66" i="9"/>
  <c r="H66" i="9"/>
  <c r="H65" i="13"/>
  <c r="A65" i="13"/>
  <c r="H66" i="13"/>
  <c r="A66" i="13"/>
  <c r="G65" i="9"/>
  <c r="H65" i="9"/>
  <c r="G64" i="9"/>
  <c r="H64" i="9"/>
  <c r="G63" i="9"/>
  <c r="H63" i="9"/>
  <c r="A33" i="13"/>
  <c r="H34" i="13"/>
  <c r="A34" i="13"/>
  <c r="A35" i="13"/>
  <c r="A1" i="10"/>
  <c r="G54" i="13"/>
  <c r="G55" i="13"/>
  <c r="G56" i="13"/>
  <c r="F53" i="13"/>
  <c r="F54" i="13"/>
  <c r="F55" i="13"/>
  <c r="H54" i="13"/>
  <c r="A54" i="13"/>
  <c r="H55" i="13"/>
  <c r="A55" i="13"/>
  <c r="H53" i="13"/>
  <c r="A53" i="13"/>
  <c r="F56" i="13"/>
  <c r="H56" i="13"/>
  <c r="A56" i="13"/>
  <c r="F57" i="13"/>
  <c r="F58" i="13"/>
  <c r="G57" i="13"/>
  <c r="G58" i="13"/>
  <c r="G62" i="13"/>
  <c r="G63" i="13"/>
  <c r="G64" i="13"/>
  <c r="G61" i="13"/>
  <c r="F61" i="13"/>
  <c r="F62" i="13"/>
  <c r="F63" i="13"/>
  <c r="F64" i="13"/>
  <c r="F69" i="13"/>
  <c r="D2" i="14"/>
  <c r="E2" i="14"/>
  <c r="E2" i="9"/>
  <c r="F2" i="9"/>
  <c r="D2" i="10"/>
  <c r="E2" i="10"/>
  <c r="G2" i="13"/>
  <c r="F2" i="13"/>
  <c r="H4" i="13"/>
  <c r="A4" i="13"/>
  <c r="H5" i="13"/>
  <c r="A5" i="13"/>
  <c r="G76" i="10"/>
  <c r="H76" i="10"/>
  <c r="G75" i="10"/>
  <c r="H75" i="10"/>
  <c r="G74" i="10"/>
  <c r="H74" i="10"/>
  <c r="G73" i="10"/>
  <c r="H73" i="10"/>
  <c r="H50" i="13"/>
  <c r="A50" i="13"/>
  <c r="H46" i="13"/>
  <c r="A46" i="13"/>
  <c r="H43" i="13"/>
  <c r="A43" i="13"/>
  <c r="H42" i="13"/>
  <c r="H41" i="13"/>
  <c r="A41" i="13"/>
  <c r="H31" i="13"/>
  <c r="A31" i="13"/>
  <c r="H30" i="13"/>
  <c r="A30" i="13"/>
  <c r="H28" i="13"/>
  <c r="A28" i="13"/>
  <c r="H24" i="13"/>
  <c r="A24" i="13"/>
  <c r="H21" i="13"/>
  <c r="A21" i="13"/>
  <c r="H19" i="13"/>
  <c r="A19" i="13"/>
  <c r="H16" i="13"/>
  <c r="A16" i="13"/>
  <c r="H15" i="13"/>
  <c r="A15" i="13"/>
  <c r="H9" i="13"/>
  <c r="A9" i="13"/>
  <c r="H8" i="13"/>
  <c r="A8" i="13"/>
  <c r="H7" i="13"/>
  <c r="A7" i="13"/>
  <c r="H6" i="13"/>
  <c r="A6" i="13"/>
  <c r="G25" i="10"/>
  <c r="H25" i="10"/>
  <c r="G59" i="9"/>
  <c r="H59" i="9"/>
  <c r="G56" i="9"/>
  <c r="H56" i="9"/>
  <c r="G52" i="9"/>
  <c r="H52" i="9"/>
  <c r="G50" i="9"/>
  <c r="H50" i="9"/>
  <c r="G46" i="9"/>
  <c r="H46" i="9"/>
  <c r="G42" i="9"/>
  <c r="H42" i="9"/>
  <c r="G40" i="9"/>
  <c r="H40" i="9"/>
  <c r="G34" i="9"/>
  <c r="H34" i="9"/>
  <c r="G32" i="9"/>
  <c r="H32" i="9"/>
  <c r="G28" i="9"/>
  <c r="H28" i="9"/>
  <c r="G26" i="9"/>
  <c r="H26" i="9"/>
  <c r="G24" i="9"/>
  <c r="H24" i="9"/>
  <c r="G22" i="9"/>
  <c r="H22" i="9"/>
  <c r="G18" i="9"/>
  <c r="H18" i="9"/>
  <c r="G15" i="9"/>
  <c r="H15" i="9"/>
  <c r="G13" i="9"/>
  <c r="H13" i="9"/>
  <c r="G7" i="9"/>
  <c r="H7" i="9"/>
  <c r="G48" i="9"/>
  <c r="H48" i="9"/>
  <c r="G47" i="9"/>
  <c r="H47" i="9"/>
  <c r="G71" i="10"/>
  <c r="H71" i="10"/>
  <c r="G66" i="10"/>
  <c r="H66" i="10"/>
  <c r="G61" i="10"/>
  <c r="H61" i="10"/>
  <c r="G57" i="10"/>
  <c r="H57" i="10"/>
  <c r="H53" i="10"/>
  <c r="G47" i="10"/>
  <c r="H47" i="10"/>
  <c r="G41" i="10"/>
  <c r="H41" i="10"/>
  <c r="G37" i="10"/>
  <c r="H37" i="10"/>
  <c r="G32" i="10"/>
  <c r="H32" i="10"/>
  <c r="G28" i="10"/>
  <c r="H28" i="10"/>
  <c r="H19" i="10"/>
  <c r="G14" i="10"/>
  <c r="H14" i="10"/>
  <c r="G10" i="10"/>
  <c r="H10" i="10"/>
  <c r="G5" i="10"/>
  <c r="H5" i="10"/>
  <c r="G35" i="10"/>
  <c r="H35" i="10"/>
  <c r="H49" i="13"/>
  <c r="A49" i="13"/>
  <c r="A37" i="13"/>
  <c r="H20" i="13"/>
  <c r="A20" i="13"/>
  <c r="A17" i="13"/>
  <c r="H13" i="13"/>
  <c r="A13" i="13"/>
  <c r="H10" i="13"/>
  <c r="A10" i="13"/>
  <c r="G27" i="14"/>
  <c r="H27" i="14"/>
  <c r="G23" i="14"/>
  <c r="H23" i="14"/>
  <c r="G21" i="14"/>
  <c r="H21" i="14"/>
  <c r="G19" i="14"/>
  <c r="H19" i="14"/>
  <c r="G17" i="14"/>
  <c r="H17" i="14"/>
  <c r="G13" i="14"/>
  <c r="H13" i="14"/>
  <c r="G47" i="14"/>
  <c r="H47" i="14"/>
  <c r="G25" i="14"/>
  <c r="H25" i="14"/>
  <c r="G15" i="14"/>
  <c r="H15" i="14"/>
  <c r="G11" i="14"/>
  <c r="H11" i="14"/>
  <c r="G69" i="10"/>
  <c r="H69" i="10"/>
  <c r="G64" i="10"/>
  <c r="H64" i="10"/>
  <c r="G59" i="10"/>
  <c r="H59" i="10"/>
  <c r="G55" i="10"/>
  <c r="H55" i="10"/>
  <c r="G51" i="10"/>
  <c r="H51" i="10"/>
  <c r="G45" i="10"/>
  <c r="H45" i="10"/>
  <c r="G39" i="10"/>
  <c r="H39" i="10"/>
  <c r="G33" i="10"/>
  <c r="H33" i="10"/>
  <c r="G31" i="10"/>
  <c r="H31" i="10"/>
  <c r="G29" i="10"/>
  <c r="H29" i="10"/>
  <c r="G20" i="10"/>
  <c r="H20" i="10"/>
  <c r="G11" i="10"/>
  <c r="H11" i="10"/>
  <c r="G6" i="10"/>
  <c r="H6" i="10"/>
  <c r="H48" i="13"/>
  <c r="A48" i="13"/>
  <c r="A40" i="13"/>
  <c r="H27" i="13"/>
  <c r="A27" i="13"/>
  <c r="H23" i="13"/>
  <c r="A23" i="13"/>
  <c r="H12" i="13"/>
  <c r="A12" i="13"/>
  <c r="G61" i="9"/>
  <c r="H61" i="9"/>
  <c r="G36" i="9"/>
  <c r="H36" i="9"/>
  <c r="G20" i="9"/>
  <c r="H20" i="9"/>
  <c r="G54" i="9"/>
  <c r="H54" i="9"/>
  <c r="G12" i="9"/>
  <c r="H12" i="9"/>
  <c r="G8" i="9"/>
  <c r="H8" i="9"/>
  <c r="A45" i="13"/>
  <c r="H29" i="13"/>
  <c r="A29" i="13"/>
  <c r="H14" i="13"/>
  <c r="A14" i="13"/>
  <c r="G31" i="14"/>
  <c r="H31" i="14"/>
  <c r="G7" i="14"/>
  <c r="H7" i="14"/>
  <c r="G14" i="9"/>
  <c r="H14" i="9"/>
  <c r="G5" i="14"/>
  <c r="H5" i="14"/>
  <c r="G27" i="10"/>
  <c r="H27" i="10"/>
  <c r="G24" i="10"/>
  <c r="H24" i="10"/>
  <c r="G17" i="10"/>
  <c r="H17" i="10"/>
  <c r="G13" i="10"/>
  <c r="H13" i="10"/>
  <c r="H8" i="10"/>
  <c r="G4" i="10"/>
  <c r="H4" i="10"/>
  <c r="G7" i="10"/>
  <c r="H7" i="10"/>
  <c r="G12" i="10"/>
  <c r="H12" i="10"/>
  <c r="G16" i="10"/>
  <c r="H16" i="10"/>
  <c r="G44" i="14"/>
  <c r="H44" i="14"/>
  <c r="G32" i="14"/>
  <c r="H32" i="14"/>
  <c r="G30" i="14"/>
  <c r="H30" i="14"/>
  <c r="G28" i="14"/>
  <c r="H28" i="14"/>
  <c r="G26" i="14"/>
  <c r="H26" i="14"/>
  <c r="G24" i="14"/>
  <c r="H24" i="14"/>
  <c r="G22" i="14"/>
  <c r="H22" i="14"/>
  <c r="G20" i="14"/>
  <c r="H20" i="14"/>
  <c r="G18" i="14"/>
  <c r="H18" i="14"/>
  <c r="G16" i="14"/>
  <c r="H16" i="14"/>
  <c r="G14" i="14"/>
  <c r="H14" i="14"/>
  <c r="G12" i="14"/>
  <c r="H12" i="14"/>
  <c r="G21" i="10"/>
  <c r="H21" i="10"/>
  <c r="G26" i="10"/>
  <c r="H26" i="10"/>
  <c r="G30" i="10"/>
  <c r="H30" i="10"/>
  <c r="G34" i="10"/>
  <c r="H34" i="10"/>
  <c r="G38" i="10"/>
  <c r="G40" i="10"/>
  <c r="H40" i="10"/>
  <c r="G42" i="10"/>
  <c r="H42" i="10"/>
  <c r="G46" i="10"/>
  <c r="H46" i="10"/>
  <c r="G48" i="10"/>
  <c r="H48" i="10"/>
  <c r="G52" i="10"/>
  <c r="H52" i="10"/>
  <c r="H54" i="10"/>
  <c r="G56" i="10"/>
  <c r="H56" i="10"/>
  <c r="G58" i="10"/>
  <c r="H58" i="10"/>
  <c r="G60" i="10"/>
  <c r="H60" i="10"/>
  <c r="G62" i="10"/>
  <c r="H62" i="10"/>
  <c r="G65" i="10"/>
  <c r="H65" i="10"/>
  <c r="G67" i="10"/>
  <c r="H67" i="10"/>
  <c r="G70" i="10"/>
  <c r="H70" i="10"/>
  <c r="G46" i="14"/>
  <c r="H46" i="14"/>
  <c r="G43" i="14"/>
  <c r="H43" i="14"/>
  <c r="G41" i="14"/>
  <c r="H41" i="14"/>
  <c r="G40" i="14"/>
  <c r="H40" i="14"/>
  <c r="G35" i="14"/>
  <c r="H35" i="14"/>
  <c r="G36" i="14"/>
  <c r="H36" i="14"/>
  <c r="G37" i="14"/>
  <c r="H37" i="14"/>
  <c r="G34" i="14"/>
  <c r="H34" i="14"/>
  <c r="G29" i="14"/>
  <c r="H29" i="14"/>
  <c r="G10" i="14"/>
  <c r="H10" i="14"/>
  <c r="G6" i="14"/>
  <c r="H6" i="14"/>
  <c r="G11" i="9"/>
  <c r="H11" i="9"/>
  <c r="G53" i="9"/>
  <c r="H53" i="9"/>
  <c r="G33" i="9"/>
  <c r="H33" i="9"/>
  <c r="G21" i="9"/>
  <c r="H21" i="9"/>
  <c r="G10" i="9"/>
  <c r="H10" i="9"/>
  <c r="G41" i="9"/>
  <c r="H41" i="9"/>
  <c r="G29" i="9"/>
  <c r="H29" i="9"/>
  <c r="H22" i="13"/>
  <c r="A22" i="13"/>
  <c r="G39" i="9"/>
  <c r="H39" i="9"/>
  <c r="G27" i="9"/>
  <c r="H27" i="9"/>
  <c r="G9" i="9"/>
  <c r="H9" i="9"/>
  <c r="A39" i="13"/>
  <c r="G58" i="9"/>
  <c r="H58" i="9"/>
  <c r="G49" i="9"/>
  <c r="H49" i="9"/>
  <c r="G35" i="9"/>
  <c r="H35" i="9"/>
  <c r="G25" i="9"/>
  <c r="H25" i="9"/>
  <c r="G17" i="9"/>
  <c r="H17" i="9"/>
  <c r="G45" i="9"/>
  <c r="H45" i="9"/>
  <c r="A38" i="13"/>
  <c r="G55" i="9"/>
  <c r="H55" i="9"/>
  <c r="G23" i="9"/>
  <c r="H23" i="9"/>
  <c r="G60" i="9"/>
  <c r="H60" i="9"/>
  <c r="G51" i="9"/>
  <c r="H51" i="9"/>
  <c r="G19" i="9"/>
  <c r="H19" i="9"/>
  <c r="G6" i="9"/>
  <c r="H6" i="9"/>
  <c r="G4" i="14"/>
  <c r="H4" i="14"/>
  <c r="H58" i="13"/>
  <c r="A58" i="13"/>
  <c r="H57" i="13"/>
  <c r="A57" i="13"/>
  <c r="H68" i="13"/>
  <c r="A68" i="13"/>
  <c r="H63" i="13"/>
  <c r="A63" i="13"/>
  <c r="H64" i="13"/>
  <c r="A64" i="13"/>
  <c r="H69" i="13"/>
  <c r="A69" i="13"/>
  <c r="H62" i="13"/>
  <c r="A62" i="13"/>
  <c r="H61" i="13"/>
  <c r="A61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<sst xmlns="http://schemas.openxmlformats.org/spreadsheetml/2006/main" count="1396" uniqueCount="540">
  <si>
    <t xml:space="preserve">R.D CONTAINER + LID </t>
  </si>
  <si>
    <t>D</t>
  </si>
  <si>
    <t>B/C</t>
  </si>
  <si>
    <t xml:space="preserve">R.C.T CONTAINER + LID </t>
  </si>
  <si>
    <t xml:space="preserve">OCTAGONAL CONTAINER  </t>
  </si>
  <si>
    <t>A</t>
  </si>
  <si>
    <t>B</t>
  </si>
  <si>
    <t>300 ML</t>
  </si>
  <si>
    <t xml:space="preserve">500 ML </t>
  </si>
  <si>
    <t xml:space="preserve">750 ML </t>
  </si>
  <si>
    <t xml:space="preserve">1000 ML </t>
  </si>
  <si>
    <t xml:space="preserve">NAME OF BOXES </t>
  </si>
  <si>
    <t>IN</t>
  </si>
  <si>
    <t xml:space="preserve">R.D BOX EMPTY </t>
  </si>
  <si>
    <t>RCT BOXES</t>
  </si>
  <si>
    <t xml:space="preserve">NAME OF DAANA </t>
  </si>
  <si>
    <t xml:space="preserve">H0 50 MN </t>
  </si>
  <si>
    <t xml:space="preserve">H. GRINDING </t>
  </si>
  <si>
    <t xml:space="preserve">NAME OF POLYTHENE </t>
  </si>
  <si>
    <t>PAPER PLATE POLYTHENE 14X17</t>
  </si>
  <si>
    <t>CONTAINER POLYTHENE RD, RCT</t>
  </si>
  <si>
    <t xml:space="preserve">R.CT  STICKER </t>
  </si>
  <si>
    <t xml:space="preserve">500 ML 42 MM </t>
  </si>
  <si>
    <t xml:space="preserve">750 ML 52 MM </t>
  </si>
  <si>
    <t xml:space="preserve">1000 ML 62 MM </t>
  </si>
  <si>
    <t xml:space="preserve">1200 ML 72 MM </t>
  </si>
  <si>
    <t xml:space="preserve">1500 ML 82 MM </t>
  </si>
  <si>
    <t xml:space="preserve">1800 ML 92 MM </t>
  </si>
  <si>
    <t>RCT LID 1000 PCS</t>
  </si>
  <si>
    <t>RCT 2 C/P</t>
  </si>
  <si>
    <t xml:space="preserve">HEAVY </t>
  </si>
  <si>
    <t>R.D STICKER</t>
  </si>
  <si>
    <t xml:space="preserve">180 ML </t>
  </si>
  <si>
    <t xml:space="preserve">200 ML </t>
  </si>
  <si>
    <t xml:space="preserve">300 ML </t>
  </si>
  <si>
    <t xml:space="preserve">400 ML </t>
  </si>
  <si>
    <t>1100 ML</t>
  </si>
  <si>
    <t xml:space="preserve">1200 ML </t>
  </si>
  <si>
    <t>R.D LID /1000 PCS (6.0 gm)</t>
  </si>
  <si>
    <t xml:space="preserve"> R.D LID /2000 PCS (6.0 gm)</t>
  </si>
  <si>
    <t xml:space="preserve">R.D COMBO PACK </t>
  </si>
  <si>
    <t>OCTAGONAL COMBO PACK</t>
  </si>
  <si>
    <t>B/C (kg)</t>
  </si>
  <si>
    <t>RAJ KACHAURI</t>
  </si>
  <si>
    <t xml:space="preserve">RD OCTAGONAL </t>
  </si>
  <si>
    <t xml:space="preserve">R.C.T CONTAINER HEAVY SERIES </t>
  </si>
  <si>
    <t>300, 400 ML 32 MM</t>
  </si>
  <si>
    <t>PLAIN P.P D 6.5X12</t>
  </si>
  <si>
    <t>BLACK</t>
  </si>
  <si>
    <t>PASTA 30MM</t>
  </si>
  <si>
    <t>PASTA 60MM</t>
  </si>
  <si>
    <t>RT  07 PP D</t>
  </si>
  <si>
    <t>PASTA 40MM</t>
  </si>
  <si>
    <t>MEAL CONTAINER</t>
  </si>
  <si>
    <t>PASTA CONTAINER</t>
  </si>
  <si>
    <t xml:space="preserve">MEAL CONTAINER POLYTHENE </t>
  </si>
  <si>
    <t xml:space="preserve">MEAL CONTAINER BOX EMPTY </t>
  </si>
  <si>
    <t xml:space="preserve">MEAL CONTAINER </t>
  </si>
  <si>
    <t>RCT 3 C/P</t>
  </si>
  <si>
    <t>5 C/P 300 PCS</t>
  </si>
  <si>
    <t>8 C/P 300 PCS</t>
  </si>
  <si>
    <t>CU.FT</t>
  </si>
  <si>
    <t>8 C/P 600 PCS</t>
  </si>
  <si>
    <t>5 C/P LID GM 300 PCS</t>
  </si>
  <si>
    <t>8 C/P LID GM 300 PCS</t>
  </si>
  <si>
    <t>R.D LID /2000 PCS ( 5.0 gm)</t>
  </si>
  <si>
    <t>RD-1100-16</t>
  </si>
  <si>
    <t>5 C/P 600 PCS</t>
  </si>
  <si>
    <t>MEAL CONTAINER LID</t>
  </si>
  <si>
    <t xml:space="preserve">OCTAGONAL CONTAINER COMBO PACK </t>
  </si>
  <si>
    <t>G STOCK</t>
  </si>
  <si>
    <t>MW-3.5</t>
  </si>
  <si>
    <t xml:space="preserve">DOME  LID </t>
  </si>
  <si>
    <t xml:space="preserve">80 dia 5500 pcs  cut </t>
  </si>
  <si>
    <t xml:space="preserve">80 dia 5600 pcs cut </t>
  </si>
  <si>
    <t>Biscuit Container 1000 PCS</t>
  </si>
  <si>
    <t>5 C/P LID 600PCS</t>
  </si>
  <si>
    <t>8 C/P LID 600 PCS</t>
  </si>
  <si>
    <t xml:space="preserve"> </t>
  </si>
  <si>
    <t>`</t>
  </si>
  <si>
    <t>STICKER CODE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</si>
  <si>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</si>
  <si>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</si>
  <si>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</si>
  <si>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</si>
  <si>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</si>
  <si>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</si>
  <si>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</si>
  <si>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</si>
  <si>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</si>
  <si>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S11</t>
  </si>
  <si>
    <t>S12</t>
  </si>
  <si>
    <t>S13</t>
  </si>
  <si>
    <t>*</t>
  </si>
  <si>
    <t>S15</t>
  </si>
  <si>
    <t>S17</t>
  </si>
  <si>
    <t>S18</t>
  </si>
  <si>
    <t>S10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</si>
  <si>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</si>
  <si>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</si>
  <si>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</si>
  <si>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</si>
  <si>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</si>
  <si>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</si>
  <si>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</si>
  <si>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</si>
  <si>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</si>
  <si>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</si>
  <si>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</si>
  <si>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S14</t>
  </si>
  <si>
    <t>S16</t>
  </si>
  <si>
    <t>S30</t>
  </si>
  <si>
    <t>S31</t>
  </si>
  <si>
    <t>S32</t>
  </si>
  <si>
    <t>S33</t>
  </si>
  <si>
    <t>S34</t>
  </si>
  <si>
    <t>S35</t>
  </si>
  <si>
    <t>S38</t>
  </si>
  <si>
    <t>S36</t>
  </si>
  <si>
    <t>S37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</si>
  <si>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</si>
  <si>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</si>
  <si>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</si>
  <si>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</si>
  <si>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</si>
  <si>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</si>
  <si>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</si>
  <si>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</si>
  <si>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</si>
  <si>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</si>
  <si>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</si>
  <si>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</si>
  <si>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/</t>
  </si>
  <si>
    <t>BOX TYPE</t>
  </si>
  <si>
    <t>B1</t>
  </si>
  <si>
    <t>B2</t>
  </si>
  <si>
    <t>B4</t>
  </si>
  <si>
    <t>B5</t>
  </si>
  <si>
    <t>B6</t>
  </si>
  <si>
    <t>B7</t>
  </si>
  <si>
    <t>B8</t>
  </si>
  <si>
    <t>B9</t>
  </si>
  <si>
    <t>B10</t>
  </si>
  <si>
    <t>B12</t>
  </si>
  <si>
    <t>B13</t>
  </si>
  <si>
    <t>B14</t>
  </si>
  <si>
    <t>BOX CODE</t>
  </si>
  <si>
    <t>-</t>
  </si>
  <si>
    <t>R8</t>
  </si>
  <si>
    <t>POLY CODE</t>
  </si>
  <si>
    <t>R1</t>
  </si>
  <si>
    <t>R2</t>
  </si>
  <si>
    <t>R3</t>
  </si>
  <si>
    <t>R4</t>
  </si>
  <si>
    <t>R5</t>
  </si>
  <si>
    <t>R6</t>
  </si>
  <si>
    <t>R9</t>
  </si>
  <si>
    <t>R5*2</t>
  </si>
  <si>
    <t>empty</t>
  </si>
  <si>
    <t>Step 1</t>
  </si>
  <si>
    <t>Step 2</t>
  </si>
  <si>
    <t>Step 3</t>
  </si>
  <si>
    <t>Step 4</t>
  </si>
  <si>
    <t>Step 5</t>
  </si>
  <si>
    <t>STEP 1</t>
  </si>
  <si>
    <t>STEP 2</t>
  </si>
  <si>
    <t>STEP 3</t>
  </si>
  <si>
    <t>STEP3</t>
  </si>
  <si>
    <t>STEP 4</t>
  </si>
  <si>
    <t>BOX  CODE</t>
  </si>
  <si>
    <t>RT08</t>
  </si>
  <si>
    <t>OBC</t>
  </si>
  <si>
    <t>XYZ</t>
  </si>
  <si>
    <t>SMALL RECTANGULAR BOX[SSB]</t>
  </si>
  <si>
    <t>SSB-250</t>
  </si>
  <si>
    <t>SSB-350</t>
  </si>
  <si>
    <t>SSB-LID</t>
  </si>
  <si>
    <t>SMALL RCT BOXES</t>
  </si>
  <si>
    <t>B16</t>
  </si>
  <si>
    <t>B17</t>
  </si>
  <si>
    <t>B18</t>
  </si>
  <si>
    <t>R10</t>
  </si>
  <si>
    <t>R11</t>
  </si>
  <si>
    <t>SMALL R.C.T STICKER</t>
  </si>
  <si>
    <t>S51</t>
  </si>
  <si>
    <t>S52</t>
  </si>
  <si>
    <t>S53</t>
  </si>
  <si>
    <t>S54</t>
  </si>
  <si>
    <t>STICKER</t>
  </si>
  <si>
    <t>250ML</t>
  </si>
  <si>
    <t>450ML</t>
  </si>
  <si>
    <t>350ML</t>
  </si>
  <si>
    <t>RCT-SMALL-LID</t>
  </si>
  <si>
    <t>SW</t>
  </si>
  <si>
    <t xml:space="preserve">WHITE </t>
  </si>
  <si>
    <t>RD-200ML-6.0[1000pcs]                                               (R1/B1)</t>
  </si>
  <si>
    <t>RAJ KACHAURI(small)</t>
  </si>
  <si>
    <t>S55</t>
  </si>
  <si>
    <t>U</t>
  </si>
  <si>
    <t>CH-3.6</t>
  </si>
  <si>
    <t xml:space="preserve">    RD-180-6</t>
  </si>
  <si>
    <t xml:space="preserve">     RD-200-6</t>
  </si>
  <si>
    <t xml:space="preserve">     RD-300-7</t>
  </si>
  <si>
    <t xml:space="preserve">       RD-400-8</t>
  </si>
  <si>
    <t xml:space="preserve">      RD-1200-18</t>
  </si>
  <si>
    <t xml:space="preserve">     RK-8</t>
  </si>
  <si>
    <t>RK-8-SMALL</t>
  </si>
  <si>
    <t xml:space="preserve">     RD-LID-7.8 </t>
  </si>
  <si>
    <t xml:space="preserve">      RCT-400-10</t>
  </si>
  <si>
    <t xml:space="preserve">         RCT-500-12</t>
  </si>
  <si>
    <t xml:space="preserve">      RCT-750-14</t>
  </si>
  <si>
    <t xml:space="preserve">          RCT-1000-15</t>
  </si>
  <si>
    <t xml:space="preserve">         RCT-1200-16</t>
  </si>
  <si>
    <t xml:space="preserve">         RCT-1500-18</t>
  </si>
  <si>
    <t xml:space="preserve">          RCT-1800-20</t>
  </si>
  <si>
    <t xml:space="preserve">            RCT-LID-10</t>
  </si>
  <si>
    <t xml:space="preserve">            2CP-13</t>
  </si>
  <si>
    <t xml:space="preserve">        2CP-B-13</t>
  </si>
  <si>
    <t xml:space="preserve">           3CP-13</t>
  </si>
  <si>
    <t xml:space="preserve">               RCT-500-14</t>
  </si>
  <si>
    <t xml:space="preserve">           RCT-1000H-16</t>
  </si>
  <si>
    <t xml:space="preserve">         RCT-1200H-18</t>
  </si>
  <si>
    <t xml:space="preserve">           RCT-1500H-20</t>
  </si>
  <si>
    <t xml:space="preserve">          OT-300-6</t>
  </si>
  <si>
    <t xml:space="preserve">            OT-750-12</t>
  </si>
  <si>
    <t xml:space="preserve">         5CP-300-24</t>
  </si>
  <si>
    <t xml:space="preserve">         5CP-300-26</t>
  </si>
  <si>
    <t xml:space="preserve">          8CP-300-24</t>
  </si>
  <si>
    <t xml:space="preserve">         8CP-300-26</t>
  </si>
  <si>
    <t xml:space="preserve"> 5CP-B-300-24</t>
  </si>
  <si>
    <t xml:space="preserve">    8CP-B-300-24</t>
  </si>
  <si>
    <t xml:space="preserve">           PT-30</t>
  </si>
  <si>
    <t xml:space="preserve">        PT-40</t>
  </si>
  <si>
    <t xml:space="preserve">     PT-60</t>
  </si>
  <si>
    <t xml:space="preserve">        OT-300-C</t>
  </si>
  <si>
    <t xml:space="preserve">      OT-500-C</t>
  </si>
  <si>
    <t xml:space="preserve">       OT-750-C</t>
  </si>
  <si>
    <t xml:space="preserve">        OT-1000-C</t>
  </si>
  <si>
    <t xml:space="preserve">RD-1100ML-16[1000PCS]                                             (R1/B2)                                                </t>
  </si>
  <si>
    <t>RD-300-M-8</t>
  </si>
  <si>
    <t>RD-750-M-14</t>
  </si>
  <si>
    <t>RD-1000-M-17</t>
  </si>
  <si>
    <t>R.D CONTAINER (WHITE OR MILKY )</t>
  </si>
  <si>
    <t>8CP-300-36</t>
  </si>
  <si>
    <t>ASSORTED ITEMS</t>
  </si>
  <si>
    <t>YXZ</t>
  </si>
  <si>
    <t xml:space="preserve">RD-400ML-8.0[1000pcs]                                               (R1/B1)                   </t>
  </si>
  <si>
    <t>PASTA-60MM-18.0[1000pcs]-BLACK                            (R6/B8)</t>
  </si>
  <si>
    <t>5CP-300-36</t>
  </si>
  <si>
    <t>FC-1.9[2500pcs]                                                                R8/RT08</t>
  </si>
  <si>
    <t>BG-3.6[2450pcs]                                                               R8/RT08</t>
  </si>
  <si>
    <t>MW-3.5[2450pcs]                                                            R8/RT08</t>
  </si>
  <si>
    <t>CH-3.6[2450pcs]                                                              R8/RT08</t>
  </si>
  <si>
    <t>SC-1.8[2500pcs]                                                               R8/RT08</t>
  </si>
  <si>
    <t>RD-1200ML-18[1000pcs] MILKY                                        R1/B2)</t>
  </si>
  <si>
    <t>OCTA-300ML-6.0[1000pcs]                                            (R1/B1)</t>
  </si>
  <si>
    <t xml:space="preserve">       SSB-450</t>
  </si>
  <si>
    <t>SSB 250-450ML (22"X17"X20")                                       B16</t>
  </si>
  <si>
    <t>DOUBLE PACK [80DIA/RCT LID/SSB LID]33.2X23X21.6]  B18</t>
  </si>
  <si>
    <t>RD-300ML-7.0[1000pcs]                                              (R1/B1)</t>
  </si>
  <si>
    <t>RT09</t>
  </si>
  <si>
    <t>MW-5.0</t>
  </si>
  <si>
    <t>OCTA-750ML-12.0-[1000pcs]                                         (R1/B2)</t>
  </si>
  <si>
    <t>BRG-4.4.0[1750pcs]                                                           R9/RT08</t>
  </si>
  <si>
    <t xml:space="preserve">         RD-1000-15</t>
  </si>
  <si>
    <t xml:space="preserve">RD-1000ML-15[1000pcs]                                             (R1/B2)                           </t>
  </si>
  <si>
    <t xml:space="preserve">    RD-750-12</t>
  </si>
  <si>
    <t>RD-750ML-12[1000pcs]                                                (R1/B2)</t>
  </si>
  <si>
    <t xml:space="preserve">    RD-500-09</t>
  </si>
  <si>
    <t>RD-500ML-09[1000pcs]                                               {R1/B1)</t>
  </si>
  <si>
    <t>RD-1000ML-17[1000pcs]MILKY                                        (R1/B2)</t>
  </si>
  <si>
    <t>RD-750ML-14[1000pcs]MILKY                                        (R1/B2)</t>
  </si>
  <si>
    <t>RD-300ML-8.0[1000pcs]MILKY                                         (R1/B1)</t>
  </si>
  <si>
    <t>RT10</t>
  </si>
  <si>
    <t>B19</t>
  </si>
  <si>
    <t>KFC-8</t>
  </si>
  <si>
    <t>R7</t>
  </si>
  <si>
    <t>GOL DAANA 25 KG</t>
  </si>
  <si>
    <t>RD-200-95</t>
  </si>
  <si>
    <t>RT04</t>
  </si>
  <si>
    <t>R12</t>
  </si>
  <si>
    <t>5CP-MEALBOX-24.0[300pcs]                        L                 (R5/B5)</t>
  </si>
  <si>
    <t>5CP-MEALBOX-24.0[300pcs]-BLACK           L                 (R5/B5)</t>
  </si>
  <si>
    <t>8CP-MEALBOX-24.0[300pcs]-BLACK           L                 (R5/B5)</t>
  </si>
  <si>
    <t>5CP-MEALBOX-26.0[300pcs]                             H           (R5/B5)</t>
  </si>
  <si>
    <t>8CP-MEALBOX-26.0[300pcs]                            H           (R5/B5)</t>
  </si>
  <si>
    <t>8CP-MEALBOX-24.0[300pcs]                       L                  (R5/B5)</t>
  </si>
  <si>
    <t>PASTA-30MM-12.0[1000pcs]-BLACK                            (R6/B7)</t>
  </si>
  <si>
    <t>RD-180ML-6.0[1000pcs]                                              (R2/B4)</t>
  </si>
  <si>
    <t>RD-110-95</t>
  </si>
  <si>
    <t>JUMBO/110/200[2000PCS][ 30"x 15" x 19" ]                     B19</t>
  </si>
  <si>
    <t>FANCY  D 6.5X9                                                                            R12</t>
  </si>
  <si>
    <t>80 DIA  5.5X25 PRINTED[ 3000 PCS ]                350gms        R 7</t>
  </si>
  <si>
    <t xml:space="preserve">      RD-LID-5</t>
  </si>
  <si>
    <t>RD/LID 9X20"  (90 GAUGE)                                   340gms     R 2                      VOILET BLUE</t>
  </si>
  <si>
    <t>RCT/ LID-16X20"    (90 GAUGE)                           230gms    R 4                      PARROT GREEN</t>
  </si>
  <si>
    <t>PASTA POLY 14" X16"    (90 GAUGE)  190gms R 6                                       [ORANGE ]</t>
  </si>
  <si>
    <t xml:space="preserve">      RD-1200-17</t>
  </si>
  <si>
    <t>RD-1200ML-17[1000pcs]                                             (R1/B2)</t>
  </si>
  <si>
    <t>GOL DAANA 25 KG    RG</t>
  </si>
  <si>
    <t xml:space="preserve">                     BT-14</t>
  </si>
  <si>
    <t>RCT-400ML-32MM-10[1000pcs]                                (R3/B20)</t>
  </si>
  <si>
    <t>RCT-500ML-42MM-12[1000pcs]                                 (R3/B20)</t>
  </si>
  <si>
    <t xml:space="preserve">RCT-750ML-52MM-14[1000pcs]                                 (R3/B20)                 </t>
  </si>
  <si>
    <t>RCT-2CP-13.0[1000pcs]                                              (R3/B20)</t>
  </si>
  <si>
    <t>RCT-2CP-13.0[1000pcs]BLACK                                    (R3/B20)</t>
  </si>
  <si>
    <t>RCT-3CP-13.0[1000pcs]                                              (R3/B20)</t>
  </si>
  <si>
    <t>B20</t>
  </si>
  <si>
    <t>B21</t>
  </si>
  <si>
    <t>MOULDING 100ML-TW-[50x50]-2500pcs [ MILKY ] CU FT [5.11 ]</t>
  </si>
  <si>
    <t xml:space="preserve">PP BLACK </t>
  </si>
  <si>
    <t>MD-2.4[3000pcs]                                                             R7/RT09</t>
  </si>
  <si>
    <t>MD-2.4</t>
  </si>
  <si>
    <t>KFC-7</t>
  </si>
  <si>
    <t xml:space="preserve">      5CP-LID-300-20</t>
  </si>
  <si>
    <t>LID-5CP-300pcs.20.0                                                   (R5/B6)</t>
  </si>
  <si>
    <t>RCT-1000ML-62MM-15[1000pcs]                              (R3/B20)</t>
  </si>
  <si>
    <t>RCT-1200ML-72MM-16[1000pcs]                              (R3/B20)</t>
  </si>
  <si>
    <t>RCT-1500ML-82MM-18[1000pcs]                               (R3/B21)</t>
  </si>
  <si>
    <t xml:space="preserve">RCT-1800ML-90MM-20[1000pcs]                              (R3/B21)                </t>
  </si>
  <si>
    <t>RCT-BISCUIT-14.0[1000pcs]                                      (R3/B21)</t>
  </si>
  <si>
    <t>RCT-500ML-42MM-14.0[1000pcs]SPECIAL                   (R3/B20)</t>
  </si>
  <si>
    <t>RCT-1000ML-62MM-16.0[1000pcs]HEAVY                   (R3/B20)</t>
  </si>
  <si>
    <t>RCT-1200ML-72MM-18.0[1000pcs]HEAVY                   (R3/B20)</t>
  </si>
  <si>
    <t>RCT-1500ML-82MM-20.0[1000pcs]HEAVY                   (R3/B21)</t>
  </si>
  <si>
    <t>B22</t>
  </si>
  <si>
    <t>MOCK T-2.3[2450pcs]                                                         R8/RT08</t>
  </si>
  <si>
    <t>SPM-4.0</t>
  </si>
  <si>
    <t xml:space="preserve">SUPREME-300ML-4.0[3000pcs]          R8/RT09   </t>
  </si>
  <si>
    <t>RD-LID-5.0[2000pcs]                                                    (R2/B22)</t>
  </si>
  <si>
    <t>RCT-LID-10[1000pcs]                                                 (R4/B22)</t>
  </si>
  <si>
    <t>RD-400-B-8</t>
  </si>
  <si>
    <t xml:space="preserve">RD-400ML-8.0[1000pcs]-BLACK                                   (R1/B1)                   </t>
  </si>
  <si>
    <t>RCT-3CP-13.0[1000pcs]BLACK                                      (R3/B20)</t>
  </si>
  <si>
    <t>SSB-350ML-7.0[1000pcs] 52mm                                                               R10/B16</t>
  </si>
  <si>
    <t>SSB-250ML-7.0[1000pcs]  42mm                                                               R10/B16</t>
  </si>
  <si>
    <t>SSB-450ML-9.0[1000pcs] 75mm                                       R10/B16</t>
  </si>
  <si>
    <t xml:space="preserve">SSB-RCT-LID-5.0[1000pcs]                                                                              R11/B17  </t>
  </si>
  <si>
    <t>RD CONTAINER  [ BLACK ]</t>
  </si>
  <si>
    <t>RD-500ML-9[1000pcs] -BLACK                                   {R1/B1)</t>
  </si>
  <si>
    <t>RD-750ML-12[1000pcs] -BLACK                                 (R1/B2)</t>
  </si>
  <si>
    <t>RD-500-B-9</t>
  </si>
  <si>
    <t>RD-750-B-12</t>
  </si>
  <si>
    <t>RD-300ML-7.0[1000pcs]-BLACK                                    (R1/B1)</t>
  </si>
  <si>
    <t>RD-300-B-7</t>
  </si>
  <si>
    <t>MOULDING 100ML-BT-[50x50]-2500pcs                     CU FT [ 5.11 ]</t>
  </si>
  <si>
    <t>5CP-MEALBOX-36.0[300pcs]                             SH       (R5/B6)</t>
  </si>
  <si>
    <t>8CP-MEALBOX-36.0[300pcs]                            SH        (R5/B6)</t>
  </si>
  <si>
    <t xml:space="preserve">G  POLYTHENE 5X28                                                                   </t>
  </si>
  <si>
    <t>MOULDING 100ML-TT-[50x50]-2500pcs               CU FT [ 5.11 ]</t>
  </si>
  <si>
    <t>RD-LID-7.8[1500pcs]WHITE                                        [R2/B10]</t>
  </si>
  <si>
    <t xml:space="preserve">OCP-300ML-5.500[OC 6 + LID 5 = 11/2=5.500]             B4     </t>
  </si>
  <si>
    <t>MOULDING TRADING</t>
  </si>
  <si>
    <t xml:space="preserve">MOULDING MFG </t>
  </si>
  <si>
    <t>DANA &amp; COLOR</t>
  </si>
  <si>
    <t>MB1</t>
  </si>
  <si>
    <t>MP1</t>
  </si>
  <si>
    <t>R13</t>
  </si>
  <si>
    <t>FC-1.9[5000pcs]    DOUBLE                                            R13/B18</t>
  </si>
  <si>
    <t>MOCK T-2.3[4900pcs]   DOUBLE                                   R13/B18</t>
  </si>
  <si>
    <t>SC-1.8[5000pcs]             DOUBLE                                   R13/B18</t>
  </si>
  <si>
    <t xml:space="preserve">      8CP-LID-300-20</t>
  </si>
  <si>
    <t>LID-8CP-300pcs.20.0                                                   (R5/B6)</t>
  </si>
  <si>
    <t>IM-TW-100ML</t>
  </si>
  <si>
    <t>IM-TT-100ML</t>
  </si>
  <si>
    <t>IM-TB-100ML</t>
  </si>
  <si>
    <t>H060 MG</t>
  </si>
  <si>
    <t>MOULDING MFG KA STOCK LAST DAY &amp; NIGHT TAK KA HAI</t>
  </si>
  <si>
    <t>PASTA-40MM-14.0[1000pcs]-BLACK                           (R6/B7)</t>
  </si>
  <si>
    <t>MP2</t>
  </si>
  <si>
    <t xml:space="preserve">SR 20 NC </t>
  </si>
  <si>
    <t>RD-300-C</t>
  </si>
  <si>
    <t>RDCP-300ml-6.0[RD7+ LID 5 = 12/2=6.00]                        B4</t>
  </si>
  <si>
    <t>RD-500-C</t>
  </si>
  <si>
    <t>RDCP-500ml-7.0[RD9+ LID 5 = 14/2=7.00]                        B4</t>
  </si>
  <si>
    <t>RD-750-C</t>
  </si>
  <si>
    <t>RDCP-750ml-8.5[RD12+LID 5 = 17/2=8.5]                         B4</t>
  </si>
  <si>
    <t>RDCP-1000ml-10.0[RD15+ LID 5 = 20/2=10.00]                B4</t>
  </si>
  <si>
    <t>RD-1000-C</t>
  </si>
  <si>
    <t>PT-30</t>
  </si>
  <si>
    <t xml:space="preserve"> PT-40</t>
  </si>
  <si>
    <t xml:space="preserve"> PT-60</t>
  </si>
  <si>
    <t>OCTA-500ML-8.0[1000pcs]                                            [R1/B1]</t>
  </si>
  <si>
    <t xml:space="preserve">OCP-500ML-6.500[OC 8 + LID 5 = 13/2 = 6.500]           B4     </t>
  </si>
  <si>
    <t>RCT400MLTO RCT 1200ML [2 OR 3 CP][29"x21.5"x16"] B20</t>
  </si>
  <si>
    <t>OCTA-1000ML-13.0[1000pcs]                                         (R1/B2)</t>
  </si>
  <si>
    <t xml:space="preserve">              OT-1000-13</t>
  </si>
  <si>
    <t xml:space="preserve">RD-RAJ KACHORI[480ML]-8.0[1000pcs]                     (R1/B1)                   </t>
  </si>
  <si>
    <t>RD-RAJ KACHORI[SMALL]-8.0[1000pcs]                     (R1/B1)</t>
  </si>
  <si>
    <t xml:space="preserve">     RD-LID-6.8 </t>
  </si>
  <si>
    <t>RD-LID-6.8[1500pcs]milkey                                        [R2/B10]</t>
  </si>
  <si>
    <t xml:space="preserve">             OT-500-8</t>
  </si>
  <si>
    <t>IM-1-OZ-25ML</t>
  </si>
  <si>
    <t>MB2</t>
  </si>
  <si>
    <t>MB3</t>
  </si>
  <si>
    <t>MP4</t>
  </si>
  <si>
    <t>MRD-25ML-1OZ-[50x100]-[5000pcs]                          MP2/MB2</t>
  </si>
  <si>
    <t>MRD-CONT</t>
  </si>
  <si>
    <t xml:space="preserve">RG568 M0 / BOUORGE                 ( RANDOM ) </t>
  </si>
  <si>
    <t>MP3</t>
  </si>
  <si>
    <t>MRD-LID</t>
  </si>
  <si>
    <t>MRD-100ML-TALL-[TW]-50x40-[2000pcs]                  MP3/MB1</t>
  </si>
  <si>
    <t>MRD-100ML-TALL-[TT]-50x40-[2000pcs]                    MP3/MB1</t>
  </si>
  <si>
    <t>MRD-100ML-TALL-[TB]-50x40-[2000pcs]                   MP3/MB1</t>
  </si>
  <si>
    <t>MRD-ONLY CONTAINER-[ 4000pcs]                             MP1/MB1</t>
  </si>
  <si>
    <t>MRD-ONLY LID-[ 4000pcs]                                             MP1/MB1</t>
  </si>
  <si>
    <t>W-6.0-95</t>
  </si>
  <si>
    <t>WG-6.0-95-[2000pcs]                                                        R9/RT10</t>
  </si>
  <si>
    <t xml:space="preserve">OCP-1000ML-9.0[OC 13+LID 5=18./2=9.]                     B4     </t>
  </si>
  <si>
    <t>RCT-500-M-12</t>
  </si>
  <si>
    <t>RCT-500ML-12[1000pcs] MILKY  SPECIAL                     (R3/B20)</t>
  </si>
  <si>
    <t xml:space="preserve">          RCT-1800-22</t>
  </si>
  <si>
    <t xml:space="preserve">RCT-1800ML-90MM-22.0[1000pcs]HEAVY                   (R3/B21)                </t>
  </si>
  <si>
    <t xml:space="preserve">     RD-200-7</t>
  </si>
  <si>
    <t>RD-200ML-7.0[1000pcs]    MILKY                                   (R1/B1)</t>
  </si>
  <si>
    <t>JUMBO-200ML-[3.5][2000pcs]-95    50mm     ( R9/B19 )</t>
  </si>
  <si>
    <t>JUMBO-110ML-[3.0][2000pcs]-95   34mm      ( R9/B19 )</t>
  </si>
  <si>
    <t xml:space="preserve">OCP-750ML-8.5[OC 12+LID 5 =17/2=8.5]                       B4     </t>
  </si>
  <si>
    <t xml:space="preserve">         5CP-600-24</t>
  </si>
  <si>
    <t xml:space="preserve">          8CP-600-24</t>
  </si>
  <si>
    <t xml:space="preserve">      5CP-LID-600-20</t>
  </si>
  <si>
    <t>LID-5CP-600pcs.20.0                                                   (R5/B9)</t>
  </si>
  <si>
    <t xml:space="preserve">BRIOWATI-3.0[2100pcs]    [90mm]                      R9/RT08                          </t>
  </si>
  <si>
    <t>BRG-3.3[1750pcs]                   [ 90mm]                          R9/RT08</t>
  </si>
  <si>
    <t>5CP-MEALBOX-24.0[600pcs]                                          (R5/B9)</t>
  </si>
  <si>
    <t>8CP-MEALBOX-24.0[600pcs]                                           (R5/B9)</t>
  </si>
  <si>
    <t>BIG-FC</t>
  </si>
  <si>
    <t xml:space="preserve">BIGFC-3.0[2100pcs]                                  R9/RT08  </t>
  </si>
  <si>
    <t>PASTA-30MM-12.0[1000pcs]-MILKY                            (R6/B7)</t>
  </si>
  <si>
    <t>PASTA-60MM-18.0[1000pcs]-MILKY                           (R6/B8)</t>
  </si>
  <si>
    <t xml:space="preserve">PASTA-30MM-13.0[1000pcs]- T/P SPECIAL                   (R6/B7) </t>
  </si>
  <si>
    <t>PASTA-40MM-15.0[1000pcs]- T/P  SPECIAL                  (R6/B7)</t>
  </si>
  <si>
    <t>PASTA-60MM-19.0[1000pcs]- T/P  SPECIAL                  (R6/B8)</t>
  </si>
  <si>
    <t>PT-60</t>
  </si>
  <si>
    <t>3CP-13</t>
  </si>
  <si>
    <t>EXP. HP60</t>
  </si>
  <si>
    <t>RD-600ML-11.0[1000pcs]                                          [R1/B2]</t>
  </si>
  <si>
    <t xml:space="preserve">     RD-600-11</t>
  </si>
  <si>
    <t>RH03</t>
  </si>
  <si>
    <t>W-3.5-95</t>
  </si>
  <si>
    <t>WG-3.5-95-[2000pcs]                           R9/RT10</t>
  </si>
  <si>
    <t>RD-180ML-6.0[1000pcs] - BLACK                                (R2/B4)</t>
  </si>
  <si>
    <t>JHALL</t>
  </si>
  <si>
    <t xml:space="preserve">            2CP-12</t>
  </si>
  <si>
    <t>RCT-2CP-12.0[1000pcs] SPECIAL                                   (R3/B20)</t>
  </si>
  <si>
    <t>RCT-1200ML-72MM-17[1000pcs]                              (R3/B20)</t>
  </si>
  <si>
    <t xml:space="preserve">         RCT-1200-17</t>
  </si>
  <si>
    <t>H036 RG  NAYARA</t>
  </si>
  <si>
    <t>RCT/ CONTAINER 14X26"   (90 GAUGE)          340gms    R 3                      RAJNIGANDHA</t>
  </si>
  <si>
    <t>SSB-250ML-8.0[1000pcs]  42mm            HEAVY                                    R10/B16</t>
  </si>
  <si>
    <t>RD-500ML-10[1000pcs] MILKY                                        (R1/B1)</t>
  </si>
  <si>
    <t>RD-500-M-10</t>
  </si>
  <si>
    <t>MW-5.0[5000pcs] H                                                          R8/B18</t>
  </si>
  <si>
    <t xml:space="preserve">    RD-500-10</t>
  </si>
  <si>
    <t>RD-500ML-10[1000pcs]           HEAVY                           {R1/B1)</t>
  </si>
  <si>
    <t>LB-2</t>
  </si>
  <si>
    <t xml:space="preserve">LEMON BOWL-2.0[3600pcs]                                                           </t>
  </si>
  <si>
    <t>H030 SG</t>
  </si>
  <si>
    <t>KFC-3.5</t>
  </si>
  <si>
    <t>KFC-3.5     [2000pcs]                                                          R9/RT10</t>
  </si>
  <si>
    <t xml:space="preserve">          RCT-1000-14</t>
  </si>
  <si>
    <t>RCT-1000ML-62MM-14[1000pcs]                              (R3/B20)</t>
  </si>
  <si>
    <t>KFC-4.0</t>
  </si>
  <si>
    <t>KFC-4.0     [2000pcs]                                                          R9/RT10</t>
  </si>
  <si>
    <t>MW-5.0[2450pcs]                                                            R8/RT08</t>
  </si>
  <si>
    <t>RT11</t>
  </si>
  <si>
    <t>KFC-8.0     [2000pcs]                                                          R9/RT11</t>
  </si>
  <si>
    <t>KFC-7.0     [2000pcs]                                                          R9/RT11</t>
  </si>
  <si>
    <t>WAVE-2.4</t>
  </si>
  <si>
    <t>WAVE-2.4 [2450 pcs ]                           R8/RT08</t>
  </si>
  <si>
    <t xml:space="preserve"> 80 DIA PLAIN          [23"x17"x22"]                                         RT08</t>
  </si>
  <si>
    <t>200/500 RD BOX 1000 PCS  (24"x20"x19")                             B1</t>
  </si>
  <si>
    <t>COMBO PACK 300 TO 1200 ML  ( 24"x20"x15")                 B4</t>
  </si>
  <si>
    <t>5CP (24''X12.5''X27.5") 300 PCS                                              B5</t>
  </si>
  <si>
    <t xml:space="preserve"> 5CP LID (24''X15''X27) 300 PCS                                               B6</t>
  </si>
  <si>
    <t>SSB LID  (23.5"X16.5"X12")                                                 B17</t>
  </si>
  <si>
    <t>80 DIA  5.5X25 PRINTED                                      250gms         R 8                                VIOLET BLUE</t>
  </si>
  <si>
    <t>SMALL RCT CONTAINER  9.5X26                        200gms    R 10                   BLACK</t>
  </si>
  <si>
    <t>SMALL RCT LID  10.5X19                                       130gms    R 11                    YELLOW</t>
  </si>
  <si>
    <t>RD CONTAINER 8X30" PRINTED (130 GAUGE) 200gms     R 1                 RED</t>
  </si>
  <si>
    <t>TRAY POLY 24" X30" L (50 PCS X 12)(90 GAUGE)168/336gms R 5              PINK</t>
  </si>
  <si>
    <t>DOUBLE POLY                                                                                     R 13</t>
  </si>
  <si>
    <t xml:space="preserve">RG568 M0 / BOUORGE [30 ]           [ RANDOM ] </t>
  </si>
  <si>
    <t>RJ 768 M0                         [70 ]           [ RANDOM ]</t>
  </si>
  <si>
    <t>SRM 250 NC                                         [ RANDOM ]</t>
  </si>
  <si>
    <t>HMEL RM 70CR                                   [ RANDOM ]</t>
  </si>
  <si>
    <t>AM 650 N RELIANCE                           [ HOMO ]</t>
  </si>
  <si>
    <t>B 650 MN                            RIL            [ ICP ]</t>
  </si>
  <si>
    <t xml:space="preserve"> FANCY D                                                                                 RT 04</t>
  </si>
  <si>
    <t>KFC-7/8 [ 30" x 20" x 19" ]                                                     RT11</t>
  </si>
  <si>
    <t xml:space="preserve">KFC -3.5/4.0gm [ 30" x 20" x 19" ]                                          RT10  </t>
  </si>
  <si>
    <t>MD 3000 PCS [31"x 17"x 19"]                                                   RT09</t>
  </si>
  <si>
    <t>750/1000 R.D BOX TO 1200 ML  (24"x21"x19")                       B2</t>
  </si>
  <si>
    <t>RD LID MILKY [25"x21"x15"]                                              B10</t>
  </si>
  <si>
    <t>PASTA TRAY (17"X16.5"X11.5") PT-30/40                                B7</t>
  </si>
  <si>
    <t>PASTA TRAY (21"X15.5"X12") PT-60                                      B8</t>
  </si>
  <si>
    <t>MEAL TRAY (24.5"X24"X27.5")   600PCS                              B9</t>
  </si>
  <si>
    <t>RD/LID 2000 PCS (26 "x17"x20") / RCT LID (1000pcs)    B22</t>
  </si>
  <si>
    <t>RCT 1500ML TO RCT 1800ML [29"x23.5"x16"]              B21</t>
  </si>
  <si>
    <t>BRIO G 7"X26"  / KFC /JUMBO                        250gms  R 9                                 RAJNIGANDHA</t>
  </si>
  <si>
    <t xml:space="preserve">BJ 368 M0 /  BOUORGE                    [ I C P ] </t>
  </si>
  <si>
    <t>HEXA 3.5</t>
  </si>
  <si>
    <t>HEXA-3.5ML[2450pcs]                                      [R8/RT08]</t>
  </si>
  <si>
    <t>8CP-300-28</t>
  </si>
  <si>
    <t>8CP-MEALBOX-28.0[300pcs]                            SH        (R5/B6)</t>
  </si>
  <si>
    <t>RD-300ML-7.0[1000pcs]  [ SPECIAL 7gm + POLY ]       (R1/B1)</t>
  </si>
  <si>
    <t>SPM-5.0</t>
  </si>
  <si>
    <t>SUPREME-300ML-5.0[3000pcs]          R8/RT09   [ MILKY ]</t>
  </si>
  <si>
    <t>H 700 MN /  RELIANCE                     [ HOMO ]</t>
  </si>
  <si>
    <t>MASTERBATCH DANA CLEAR [ BLUE ]                  22.5.2026</t>
  </si>
  <si>
    <t>MASTERBATCH DANA BLACK                                  22.5.2026</t>
  </si>
  <si>
    <t>MASTERBATCH YELLOW                                      22.5.2026</t>
  </si>
  <si>
    <t>MASTERBATCH DANA WHITE [ MILKY ]                   22.5.2026</t>
  </si>
  <si>
    <t>SMAAL JHAL  - "43 x 47"                  26.5.2026</t>
  </si>
  <si>
    <t>MASTERBATCH DANA BLACK                                            27.5.2026</t>
  </si>
  <si>
    <t>MASTERBATCH DANA WHITE                                           27.5.2026</t>
  </si>
  <si>
    <t>MW-4.5</t>
  </si>
  <si>
    <t>MW-4.5[2450pcs] MILKY                                                  R8/RT09</t>
  </si>
  <si>
    <t>BIG JHAL - "48 x 60"                        6.6.2026</t>
  </si>
  <si>
    <t>M67MP [ ADVANCED ]</t>
  </si>
  <si>
    <t>TFM [ MASTER BATCH ]</t>
  </si>
  <si>
    <t>POLYTHENE</t>
  </si>
  <si>
    <t>ALREADY UPDATED POLY</t>
  </si>
  <si>
    <t>ALREADY UPDATED BOXES</t>
  </si>
  <si>
    <t>SSB  MILKY</t>
  </si>
  <si>
    <t>SSB-250ML-8.0[1000pcs] 42mm  HEAVY  [ MILKY ]                       R10/B16</t>
  </si>
  <si>
    <t>SSB-250 MILKY</t>
  </si>
  <si>
    <t>100 ML POLY [5.5 X 12 ]                                                                              MP-1</t>
  </si>
  <si>
    <t>SIPPER          5.5x15 [ 25pcs]                                                                        MP-4</t>
  </si>
  <si>
    <t>SIPPER  LID  7x7.5  [ 25pcs]                                                                         MP-5</t>
  </si>
  <si>
    <t>100 ML[ 24 x 15 x 14.5 ]                                                                              MB-1</t>
  </si>
  <si>
    <t>MP5</t>
  </si>
  <si>
    <t>MB4</t>
  </si>
  <si>
    <t>MB5</t>
  </si>
  <si>
    <t>1 OZ ML[100pcs x 50 ]   [ 22x16x18]                                                        MB-2</t>
  </si>
  <si>
    <t>1 OZ ML[100pcs x 25 ]   [ 22x16x9]                                                            MB-3</t>
  </si>
  <si>
    <t>SIPPER  17.5 x 13.5 x 18.50      [ 500pcs]   [ 25 x 20 ]                            MB-4</t>
  </si>
  <si>
    <t>SIPPER  27.5 x 17.5 x 18.100  [ 1000pcs] [ 25 x 40 ]                               MB-5</t>
  </si>
  <si>
    <t>100 ML POLY [5.5 X 19] [50+50] CON + LID                                                 MP-3</t>
  </si>
  <si>
    <t>1 OZ ML POLY  [6 X 22 ] [50+100] CON + LID [ 360gm ]                           MP-2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</si>
</sst>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Batang"/>
      <family val="1"/>
    </font>
    <font>
      <b/>
      <sz val="10"/>
      <color theme="1"/>
      <name val="Batang"/>
      <family val="1"/>
    </font>
    <font>
      <b/>
      <sz val="11"/>
      <color theme="1"/>
      <name val="Batang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Batang"/>
      <family val="1"/>
    </font>
    <font>
      <b/>
      <sz val="12"/>
      <color theme="1"/>
      <name val="Batang"/>
      <family val="1"/>
      <charset val="129"/>
    </font>
    <font>
      <b/>
      <sz val="14"/>
      <name val="Calibri"/>
      <family val="2"/>
      <scheme val="minor"/>
    </font>
    <font>
      <b/>
      <sz val="14"/>
      <color theme="1"/>
      <name val="Batang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/>
    <xf numFmtId="1" fontId="1" fillId="0" borderId="0" xfId="0" applyNumberFormat="1" applyFont="1"/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3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1" xfId="0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0" fontId="4" fillId="2" borderId="0" xfId="0" applyFont="1" applyFill="1"/>
    <xf numFmtId="164" fontId="7" fillId="2" borderId="1" xfId="0" applyNumberFormat="1" applyFont="1" applyFill="1" applyBorder="1" applyAlignment="1">
      <alignment horizontal="center"/>
    </xf>
    <xf numFmtId="0" fontId="3" fillId="0" borderId="0" xfId="0" applyFont="1"/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9" fillId="0" borderId="0" xfId="0" applyFont="1"/>
    <xf numFmtId="0" fontId="3" fillId="2" borderId="1" xfId="0" applyFont="1" applyFill="1" applyBorder="1"/>
    <xf numFmtId="0" fontId="3" fillId="3" borderId="1" xfId="0" applyFont="1" applyFill="1" applyBorder="1"/>
    <xf numFmtId="0" fontId="9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2" fillId="2" borderId="1" xfId="0" applyFont="1" applyFill="1" applyBorder="1"/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7" xfId="0" applyFont="1" applyBorder="1"/>
    <xf numFmtId="0" fontId="3" fillId="0" borderId="7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/>
    <xf numFmtId="0" fontId="4" fillId="0" borderId="1" xfId="0" applyFont="1" applyBorder="1" applyAlignment="1">
      <alignment vertical="top"/>
    </xf>
    <xf numFmtId="0" fontId="3" fillId="0" borderId="1" xfId="0" applyFont="1" applyBorder="1" applyAlignment="1">
      <alignment vertical="top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9" fillId="0" borderId="1" xfId="0" applyFont="1" applyBorder="1"/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10" fillId="2" borderId="3" xfId="0" applyFont="1" applyFill="1" applyBorder="1" applyAlignment="1">
      <alignment horizontal="center"/>
    </xf>
    <xf numFmtId="0" fontId="9" fillId="0" borderId="3" xfId="0" applyFont="1" applyBorder="1" applyAlignment="1">
      <alignment horizontal="left"/>
    </xf>
    <xf numFmtId="0" fontId="9" fillId="0" borderId="4" xfId="0" applyFont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9" borderId="3" xfId="0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164" fontId="14" fillId="0" borderId="1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64" fontId="1" fillId="0" borderId="0" xfId="0" applyNumberFormat="1" applyFont="1"/>
    <xf numFmtId="164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7" Type="http://schemas.openxmlformats.org/officeDocument/2006/relationships/styles" Target="style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theme" Target="theme/theme1.xml" /><Relationship Id="rId11" Type="http://schemas.microsoft.com/office/2006/relationships/vbaProject" Target="vbaProject.bin" /><Relationship Id="rId5" Type="http://schemas.openxmlformats.org/officeDocument/2006/relationships/worksheet" Target="worksheets/sheet5.xml" /><Relationship Id="rId10" Type="http://schemas.openxmlformats.org/officeDocument/2006/relationships/calcChain" Target="calcChain.xml" /><Relationship Id="rId4" Type="http://schemas.openxmlformats.org/officeDocument/2006/relationships/worksheet" Target="worksheets/sheet4.xml" /><Relationship Id="rId9" Type="http://schemas.openxmlformats.org/officeDocument/2006/relationships/sheetMetadata" Target="metadata.xml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47625</xdr:rowOff>
        </xdr:from>
        <xdr:to>
          <xdr:col>14</xdr:col>
          <xdr:colOff>371475</xdr:colOff>
          <xdr:row>29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A,B,D,IN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9525</xdr:rowOff>
        </xdr:from>
        <xdr:to>
          <xdr:col>14</xdr:col>
          <xdr:colOff>466725</xdr:colOff>
          <xdr:row>22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B/C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9525</xdr:rowOff>
        </xdr:from>
        <xdr:to>
          <xdr:col>14</xdr:col>
          <xdr:colOff>419100</xdr:colOff>
          <xdr:row>12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5</xdr:row>
          <xdr:rowOff>152400</xdr:rowOff>
        </xdr:from>
        <xdr:to>
          <xdr:col>14</xdr:col>
          <xdr:colOff>219075</xdr:colOff>
          <xdr:row>7</xdr:row>
          <xdr:rowOff>161925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14</xdr:row>
          <xdr:rowOff>161925</xdr:rowOff>
        </xdr:from>
        <xdr:to>
          <xdr:col>14</xdr:col>
          <xdr:colOff>57150</xdr:colOff>
          <xdr:row>17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11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B/C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A,B,D,IN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13</xdr:row>
          <xdr:rowOff>247650</xdr:rowOff>
        </xdr:from>
        <xdr:to>
          <xdr:col>15</xdr:col>
          <xdr:colOff>581025</xdr:colOff>
          <xdr:row>17</xdr:row>
          <xdr:rowOff>314325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B/C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20</xdr:row>
          <xdr:rowOff>314325</xdr:rowOff>
        </xdr:from>
        <xdr:to>
          <xdr:col>15</xdr:col>
          <xdr:colOff>847725</xdr:colOff>
          <xdr:row>26</xdr:row>
          <xdr:rowOff>276225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A,B,D,IN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133350</xdr:rowOff>
        </xdr:from>
        <xdr:to>
          <xdr:col>15</xdr:col>
          <xdr:colOff>314325</xdr:colOff>
          <xdr:row>9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</xdr:row>
          <xdr:rowOff>95250</xdr:rowOff>
        </xdr:from>
        <xdr:to>
          <xdr:col>15</xdr:col>
          <xdr:colOff>57150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190500</xdr:rowOff>
        </xdr:from>
        <xdr:to>
          <xdr:col>11</xdr:col>
          <xdr:colOff>419100</xdr:colOff>
          <xdr:row>23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A,B,D,IN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</xdr:row>
          <xdr:rowOff>38100</xdr:rowOff>
        </xdr:from>
        <xdr:to>
          <xdr:col>12</xdr:col>
          <xdr:colOff>0</xdr:colOff>
          <xdr:row>15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B/C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6</xdr:row>
          <xdr:rowOff>47625</xdr:rowOff>
        </xdr:from>
        <xdr:to>
          <xdr:col>11</xdr:col>
          <xdr:colOff>552450</xdr:colOff>
          <xdr:row>8</xdr:row>
          <xdr:rowOff>9525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 /><Relationship Id="rId3" Type="http://schemas.openxmlformats.org/officeDocument/2006/relationships/vmlDrawing" Target="../drawings/vmlDrawing1.vml" /><Relationship Id="rId7" Type="http://schemas.openxmlformats.org/officeDocument/2006/relationships/ctrlProp" Target="../ctrlProps/ctrlProp4.x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Relationship Id="rId6" Type="http://schemas.openxmlformats.org/officeDocument/2006/relationships/ctrlProp" Target="../ctrlProps/ctrlProp3.xml" /><Relationship Id="rId5" Type="http://schemas.openxmlformats.org/officeDocument/2006/relationships/ctrlProp" Target="../ctrlProps/ctrlProp2.xml" /><Relationship Id="rId4" Type="http://schemas.openxmlformats.org/officeDocument/2006/relationships/ctrlProp" Target="../ctrlProps/ctrlProp1.xml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 /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2.bin" /><Relationship Id="rId6" Type="http://schemas.openxmlformats.org/officeDocument/2006/relationships/ctrlProp" Target="../ctrlProps/ctrlProp8.xml" /><Relationship Id="rId5" Type="http://schemas.openxmlformats.org/officeDocument/2006/relationships/ctrlProp" Target="../ctrlProps/ctrlProp7.xml" /><Relationship Id="rId4" Type="http://schemas.openxmlformats.org/officeDocument/2006/relationships/ctrlProp" Target="../ctrlProps/ctrlProp6.xml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 /><Relationship Id="rId7" Type="http://schemas.openxmlformats.org/officeDocument/2006/relationships/ctrlProp" Target="../ctrlProps/ctrlProp12.xml" /><Relationship Id="rId2" Type="http://schemas.openxmlformats.org/officeDocument/2006/relationships/drawing" Target="../drawings/drawing3.xml" /><Relationship Id="rId1" Type="http://schemas.openxmlformats.org/officeDocument/2006/relationships/printerSettings" Target="../printerSettings/printerSettings3.bin" /><Relationship Id="rId6" Type="http://schemas.openxmlformats.org/officeDocument/2006/relationships/ctrlProp" Target="../ctrlProps/ctrlProp11.xml" /><Relationship Id="rId5" Type="http://schemas.openxmlformats.org/officeDocument/2006/relationships/ctrlProp" Target="../ctrlProps/ctrlProp10.xml" /><Relationship Id="rId4" Type="http://schemas.openxmlformats.org/officeDocument/2006/relationships/ctrlProp" Target="../ctrlProps/ctrlProp9.xml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 /><Relationship Id="rId2" Type="http://schemas.openxmlformats.org/officeDocument/2006/relationships/drawing" Target="../drawings/drawing4.xml" /><Relationship Id="rId1" Type="http://schemas.openxmlformats.org/officeDocument/2006/relationships/printerSettings" Target="../printerSettings/printerSettings5.bin" /><Relationship Id="rId6" Type="http://schemas.openxmlformats.org/officeDocument/2006/relationships/ctrlProp" Target="../ctrlProps/ctrlProp15.xml" /><Relationship Id="rId5" Type="http://schemas.openxmlformats.org/officeDocument/2006/relationships/ctrlProp" Target="../ctrlProps/ctrlProp14.xml" /><Relationship Id="rId4" Type="http://schemas.openxmlformats.org/officeDocument/2006/relationships/ctrlProp" Target="../ctrlProps/ctrlProp13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20"/>
  <sheetViews>
    <sheetView tabSelected="1" topLeftCell="A84" zoomScale="85" zoomScaleNormal="85" workbookViewId="0">
      <selection sqref="A1:H98"/>
    </sheetView>
  </sheetViews>
  <sheetFormatPr defaultColWidth="9.14453125" defaultRowHeight="14.25" x14ac:dyDescent="0.2"/>
  <cols>
    <col min="1" max="1" width="5.91796875" style="14" customWidth="1"/>
    <col min="2" max="2" width="65.109375" style="1" bestFit="1" customWidth="1"/>
    <col min="3" max="3" width="11.56640625" style="1" customWidth="1"/>
    <col min="4" max="5" width="11.56640625" style="7" bestFit="1" customWidth="1"/>
    <col min="6" max="7" width="12.64453125" style="7" bestFit="1" customWidth="1"/>
    <col min="8" max="8" width="11.56640625" style="7" bestFit="1" customWidth="1"/>
    <col min="9" max="16384" width="9.14453125" style="1"/>
  </cols>
  <sheetData>
    <row r="1" spans="1:17" ht="15" x14ac:dyDescent="0.2">
      <c r="A1" s="121" t="s">
        <v>78</v>
      </c>
      <c r="B1" s="122"/>
      <c r="C1" s="122"/>
      <c r="D1" s="122"/>
      <c r="E1" s="122"/>
      <c r="F1" s="122"/>
      <c r="G1" s="122"/>
      <c r="H1" s="122"/>
    </row>
    <row r="2" spans="1:17" ht="12.95" customHeight="1" x14ac:dyDescent="0.2">
      <c r="A2" s="16" t="s">
        <v>79</v>
      </c>
      <c r="B2" s="16"/>
      <c r="C2" s="16"/>
      <c r="D2" s="16"/>
      <c r="E2" s="29"/>
      <c r="F2" s="33">
        <f ca="1">TODAY()</f>
        <v>46231</v>
      </c>
      <c r="G2" s="33">
        <f ca="1">TODAY()-1</f>
        <v>46230</v>
      </c>
      <c r="H2" s="21"/>
    </row>
    <row r="3" spans="1:17" s="3" customFormat="1" ht="12.95" customHeight="1" x14ac:dyDescent="0.2">
      <c r="A3" s="15"/>
      <c r="B3" s="4" t="s">
        <v>11</v>
      </c>
      <c r="C3" s="4" t="s">
        <v>61</v>
      </c>
      <c r="D3" s="4" t="s">
        <v>2</v>
      </c>
      <c r="E3" s="52" t="s">
        <v>12</v>
      </c>
      <c r="F3" s="4" t="s">
        <v>5</v>
      </c>
      <c r="G3" s="51" t="s">
        <v>6</v>
      </c>
      <c r="H3" s="4" t="s">
        <v>2</v>
      </c>
      <c r="I3" s="3" t="s">
        <v>133</v>
      </c>
    </row>
    <row r="4" spans="1:17" ht="12.95" customHeight="1" x14ac:dyDescent="0.2">
      <c r="A4" s="5" t="str">
        <f>IF(H4&lt;100,"LOW"," ")</f>
        <v xml:space="preserve"> </v>
      </c>
      <c r="B4" s="59" t="s">
        <v>488</v>
      </c>
      <c r="C4" s="59"/>
      <c r="D4" s="18">
        <v>750</v>
      </c>
      <c r="E4" s="18"/>
      <c r="F4" s="18"/>
      <c r="G4" s="18"/>
      <c r="H4" s="18">
        <f t="shared" ref="H4:H10" si="0">D4+E4-F4-G4</f>
        <v>750</v>
      </c>
      <c r="I4" s="1" t="s">
        <v>279</v>
      </c>
    </row>
    <row r="5" spans="1:17" ht="12.95" customHeight="1" x14ac:dyDescent="0.2">
      <c r="A5" s="5" t="str">
        <f t="shared" ref="A5:A68" si="1">IF(H5&lt;100,"LOW"," ")</f>
        <v>LOW</v>
      </c>
      <c r="B5" s="59" t="s">
        <v>51</v>
      </c>
      <c r="C5" s="59"/>
      <c r="D5" s="18">
        <v>0</v>
      </c>
      <c r="E5" s="18"/>
      <c r="F5" s="18"/>
      <c r="G5" s="18"/>
      <c r="H5" s="18">
        <f t="shared" si="0"/>
        <v>0</v>
      </c>
      <c r="I5" s="1" t="s">
        <v>147</v>
      </c>
    </row>
    <row r="6" spans="1:17" ht="12.95" customHeight="1" x14ac:dyDescent="0.2">
      <c r="A6" s="5" t="str">
        <f t="shared" si="1"/>
        <v xml:space="preserve"> </v>
      </c>
      <c r="B6" s="59" t="s">
        <v>470</v>
      </c>
      <c r="C6" s="2">
        <v>4.97</v>
      </c>
      <c r="D6" s="18">
        <v>775</v>
      </c>
      <c r="E6" s="18"/>
      <c r="F6" s="18">
        <v>0</v>
      </c>
      <c r="G6" s="18">
        <v>0</v>
      </c>
      <c r="H6" s="18">
        <f t="shared" si="0"/>
        <v>775</v>
      </c>
      <c r="I6" s="1" t="s">
        <v>170</v>
      </c>
    </row>
    <row r="7" spans="1:17" ht="12.95" customHeight="1" x14ac:dyDescent="0.2">
      <c r="A7" s="5" t="str">
        <f t="shared" si="1"/>
        <v>LOW</v>
      </c>
      <c r="B7" s="59" t="s">
        <v>172</v>
      </c>
      <c r="C7" s="59"/>
      <c r="D7" s="18">
        <v>0</v>
      </c>
      <c r="E7" s="18"/>
      <c r="F7" s="18"/>
      <c r="G7" s="18"/>
      <c r="H7" s="18">
        <f t="shared" si="0"/>
        <v>0</v>
      </c>
      <c r="I7" s="1" t="s">
        <v>147</v>
      </c>
      <c r="K7" s="1" t="s">
        <v>159</v>
      </c>
      <c r="Q7" s="1" t="s">
        <v>522</v>
      </c>
    </row>
    <row r="8" spans="1:17" ht="12.95" customHeight="1" x14ac:dyDescent="0.2">
      <c r="A8" s="5" t="str">
        <f t="shared" si="1"/>
        <v xml:space="preserve"> </v>
      </c>
      <c r="B8" s="59" t="s">
        <v>489</v>
      </c>
      <c r="C8" s="2">
        <v>6.59</v>
      </c>
      <c r="D8" s="18">
        <v>221</v>
      </c>
      <c r="E8" s="18"/>
      <c r="F8" s="18">
        <v>0</v>
      </c>
      <c r="G8" s="18">
        <v>0</v>
      </c>
      <c r="H8" s="18">
        <f t="shared" si="0"/>
        <v>221</v>
      </c>
      <c r="I8" s="1" t="s">
        <v>465</v>
      </c>
    </row>
    <row r="9" spans="1:17" ht="12.95" customHeight="1" x14ac:dyDescent="0.2">
      <c r="A9" s="5" t="str">
        <f t="shared" si="1"/>
        <v xml:space="preserve"> </v>
      </c>
      <c r="B9" s="59" t="s">
        <v>490</v>
      </c>
      <c r="C9" s="2">
        <v>6.59</v>
      </c>
      <c r="D9" s="18">
        <v>668</v>
      </c>
      <c r="E9" s="18"/>
      <c r="F9" s="18">
        <v>0</v>
      </c>
      <c r="G9" s="18">
        <v>0</v>
      </c>
      <c r="H9" s="18">
        <f t="shared" si="0"/>
        <v>668</v>
      </c>
      <c r="I9" s="1" t="s">
        <v>273</v>
      </c>
      <c r="J9" s="1" t="s">
        <v>78</v>
      </c>
    </row>
    <row r="10" spans="1:17" ht="12.95" customHeight="1" x14ac:dyDescent="0.2">
      <c r="A10" s="5" t="str">
        <f t="shared" si="1"/>
        <v xml:space="preserve"> </v>
      </c>
      <c r="B10" s="6" t="s">
        <v>491</v>
      </c>
      <c r="C10" s="2">
        <v>5.79</v>
      </c>
      <c r="D10" s="2">
        <v>403</v>
      </c>
      <c r="E10" s="2"/>
      <c r="F10" s="80">
        <v>0</v>
      </c>
      <c r="G10" s="80">
        <v>0</v>
      </c>
      <c r="H10" s="18">
        <f t="shared" si="0"/>
        <v>403</v>
      </c>
      <c r="I10" s="1" t="s">
        <v>260</v>
      </c>
    </row>
    <row r="11" spans="1:17" ht="12.95" customHeight="1" x14ac:dyDescent="0.2">
      <c r="A11" s="15"/>
      <c r="B11" s="4" t="s">
        <v>13</v>
      </c>
      <c r="C11" s="4"/>
      <c r="D11" s="4" t="s">
        <v>2</v>
      </c>
      <c r="E11" s="52"/>
      <c r="F11" s="4"/>
      <c r="G11" s="51"/>
      <c r="H11" s="4" t="s">
        <v>2</v>
      </c>
      <c r="I11" s="1" t="s">
        <v>147</v>
      </c>
    </row>
    <row r="12" spans="1:17" ht="12.95" customHeight="1" x14ac:dyDescent="0.2">
      <c r="A12" s="5" t="str">
        <f t="shared" si="1"/>
        <v xml:space="preserve"> </v>
      </c>
      <c r="B12" s="59" t="s">
        <v>471</v>
      </c>
      <c r="C12" s="2">
        <v>5.27</v>
      </c>
      <c r="D12" s="18">
        <v>476</v>
      </c>
      <c r="E12" s="18"/>
      <c r="F12" s="18">
        <v>0</v>
      </c>
      <c r="G12" s="18">
        <v>0</v>
      </c>
      <c r="H12" s="18">
        <f>D12+E12-F12-G12</f>
        <v>476</v>
      </c>
      <c r="I12" s="1" t="s">
        <v>134</v>
      </c>
      <c r="K12" s="1" t="s">
        <v>160</v>
      </c>
    </row>
    <row r="13" spans="1:17" ht="12.95" customHeight="1" x14ac:dyDescent="0.2">
      <c r="A13" s="5" t="str">
        <f t="shared" si="1"/>
        <v xml:space="preserve"> </v>
      </c>
      <c r="B13" s="60" t="s">
        <v>492</v>
      </c>
      <c r="C13" s="5">
        <v>5.54</v>
      </c>
      <c r="D13" s="18">
        <v>318</v>
      </c>
      <c r="E13" s="18"/>
      <c r="F13" s="18">
        <v>17</v>
      </c>
      <c r="G13" s="18">
        <v>0</v>
      </c>
      <c r="H13" s="18">
        <f t="shared" ref="H13:H17" si="2">D13+E13-F13-G13</f>
        <v>301</v>
      </c>
      <c r="I13" s="1" t="s">
        <v>135</v>
      </c>
      <c r="Q13" s="1" t="s">
        <v>523</v>
      </c>
    </row>
    <row r="14" spans="1:17" ht="12.95" customHeight="1" x14ac:dyDescent="0.2">
      <c r="A14" s="5" t="str">
        <f t="shared" si="1"/>
        <v>LOW</v>
      </c>
      <c r="B14" s="59" t="s">
        <v>172</v>
      </c>
      <c r="C14" s="2">
        <v>5.9</v>
      </c>
      <c r="D14" s="18">
        <v>0</v>
      </c>
      <c r="E14" s="18"/>
      <c r="F14" s="18"/>
      <c r="G14" s="18"/>
      <c r="H14" s="18">
        <f t="shared" si="2"/>
        <v>0</v>
      </c>
      <c r="I14" s="1" t="s">
        <v>147</v>
      </c>
    </row>
    <row r="15" spans="1:17" ht="12.95" customHeight="1" x14ac:dyDescent="0.2">
      <c r="A15" s="5" t="str">
        <f t="shared" si="1"/>
        <v>LOW</v>
      </c>
      <c r="B15" s="59" t="s">
        <v>172</v>
      </c>
      <c r="C15" s="2">
        <v>6.4</v>
      </c>
      <c r="D15" s="18">
        <v>0</v>
      </c>
      <c r="E15" s="18"/>
      <c r="F15" s="18"/>
      <c r="G15" s="18"/>
      <c r="H15" s="18">
        <f>D15+E15-F15-G15</f>
        <v>0</v>
      </c>
      <c r="I15" s="1" t="s">
        <v>147</v>
      </c>
    </row>
    <row r="16" spans="1:17" ht="12.95" customHeight="1" x14ac:dyDescent="0.2">
      <c r="A16" s="5" t="str">
        <f t="shared" si="1"/>
        <v xml:space="preserve"> </v>
      </c>
      <c r="B16" s="59" t="s">
        <v>493</v>
      </c>
      <c r="C16" s="2">
        <v>4.55</v>
      </c>
      <c r="D16" s="18">
        <v>258</v>
      </c>
      <c r="E16" s="18"/>
      <c r="F16" s="18">
        <v>0</v>
      </c>
      <c r="G16" s="18">
        <v>0</v>
      </c>
      <c r="H16" s="18">
        <f t="shared" si="2"/>
        <v>258</v>
      </c>
      <c r="I16" s="1" t="s">
        <v>142</v>
      </c>
    </row>
    <row r="17" spans="1:11" ht="12.95" customHeight="1" x14ac:dyDescent="0.2">
      <c r="A17" s="5" t="str">
        <f t="shared" si="1"/>
        <v xml:space="preserve"> </v>
      </c>
      <c r="B17" s="62" t="s">
        <v>472</v>
      </c>
      <c r="C17" s="63">
        <v>4.16</v>
      </c>
      <c r="D17" s="18">
        <v>452</v>
      </c>
      <c r="E17" s="18"/>
      <c r="F17" s="18">
        <v>0</v>
      </c>
      <c r="G17" s="20">
        <v>0</v>
      </c>
      <c r="H17" s="18">
        <f t="shared" si="2"/>
        <v>452</v>
      </c>
      <c r="I17" s="1" t="s">
        <v>136</v>
      </c>
      <c r="K17" s="1" t="s">
        <v>161</v>
      </c>
    </row>
    <row r="18" spans="1:11" ht="12.95" customHeight="1" x14ac:dyDescent="0.2">
      <c r="A18" s="15"/>
      <c r="B18" s="4" t="s">
        <v>56</v>
      </c>
      <c r="C18" s="4"/>
      <c r="D18" s="4" t="s">
        <v>2</v>
      </c>
      <c r="E18" s="52"/>
      <c r="F18" s="4"/>
      <c r="G18" s="51"/>
      <c r="H18" s="4" t="s">
        <v>2</v>
      </c>
      <c r="I18" s="1" t="s">
        <v>147</v>
      </c>
    </row>
    <row r="19" spans="1:11" ht="12.95" customHeight="1" x14ac:dyDescent="0.2">
      <c r="A19" s="5" t="str">
        <f t="shared" si="1"/>
        <v xml:space="preserve"> </v>
      </c>
      <c r="B19" s="62" t="s">
        <v>473</v>
      </c>
      <c r="C19" s="64">
        <v>4.7699999999999996</v>
      </c>
      <c r="D19" s="18">
        <v>172</v>
      </c>
      <c r="E19" s="34"/>
      <c r="F19" s="34">
        <v>35</v>
      </c>
      <c r="G19" s="34">
        <v>31</v>
      </c>
      <c r="H19" s="18">
        <f t="shared" ref="H19:H25" si="3">D19+E19-F19-G19</f>
        <v>106</v>
      </c>
      <c r="I19" s="1" t="s">
        <v>137</v>
      </c>
    </row>
    <row r="20" spans="1:11" ht="12.95" customHeight="1" x14ac:dyDescent="0.2">
      <c r="A20" s="5" t="str">
        <f t="shared" si="1"/>
        <v xml:space="preserve"> </v>
      </c>
      <c r="B20" s="62" t="s">
        <v>474</v>
      </c>
      <c r="C20" s="64">
        <v>5.62</v>
      </c>
      <c r="D20" s="18">
        <v>111</v>
      </c>
      <c r="E20" s="34"/>
      <c r="F20" s="34">
        <v>0</v>
      </c>
      <c r="G20" s="34">
        <v>0</v>
      </c>
      <c r="H20" s="18">
        <f t="shared" si="3"/>
        <v>111</v>
      </c>
      <c r="I20" s="1" t="s">
        <v>138</v>
      </c>
    </row>
    <row r="21" spans="1:11" ht="12.95" customHeight="1" x14ac:dyDescent="0.2">
      <c r="A21" s="5" t="str">
        <f t="shared" si="1"/>
        <v xml:space="preserve"> </v>
      </c>
      <c r="B21" s="62" t="s">
        <v>494</v>
      </c>
      <c r="C21" s="63">
        <v>1.86</v>
      </c>
      <c r="D21" s="18">
        <v>145</v>
      </c>
      <c r="E21" s="34"/>
      <c r="F21" s="35">
        <v>0</v>
      </c>
      <c r="G21" s="35">
        <v>0</v>
      </c>
      <c r="H21" s="18">
        <f t="shared" si="3"/>
        <v>145</v>
      </c>
      <c r="I21" s="1" t="s">
        <v>139</v>
      </c>
      <c r="K21" s="1" t="s">
        <v>162</v>
      </c>
    </row>
    <row r="22" spans="1:11" ht="12.95" customHeight="1" x14ac:dyDescent="0.2">
      <c r="A22" s="5" t="str">
        <f t="shared" si="1"/>
        <v xml:space="preserve"> </v>
      </c>
      <c r="B22" s="62" t="s">
        <v>495</v>
      </c>
      <c r="C22" s="63">
        <v>2.2599999999999998</v>
      </c>
      <c r="D22" s="18">
        <v>426</v>
      </c>
      <c r="E22" s="34"/>
      <c r="F22" s="35">
        <v>0</v>
      </c>
      <c r="G22" s="35">
        <v>0</v>
      </c>
      <c r="H22" s="18">
        <f t="shared" si="3"/>
        <v>426</v>
      </c>
      <c r="I22" s="1" t="s">
        <v>140</v>
      </c>
    </row>
    <row r="23" spans="1:11" ht="12.95" customHeight="1" x14ac:dyDescent="0.2">
      <c r="A23" s="5" t="str">
        <f t="shared" si="1"/>
        <v>LOW</v>
      </c>
      <c r="B23" s="62" t="s">
        <v>496</v>
      </c>
      <c r="C23" s="63">
        <v>9.35</v>
      </c>
      <c r="D23" s="18">
        <v>50</v>
      </c>
      <c r="E23" s="18"/>
      <c r="F23" s="2">
        <v>0</v>
      </c>
      <c r="G23" s="2">
        <v>0</v>
      </c>
      <c r="H23" s="18">
        <f t="shared" si="3"/>
        <v>50</v>
      </c>
      <c r="I23" s="1" t="s">
        <v>141</v>
      </c>
    </row>
    <row r="24" spans="1:11" ht="12.95" customHeight="1" x14ac:dyDescent="0.2">
      <c r="A24" s="5" t="str">
        <f t="shared" si="1"/>
        <v xml:space="preserve"> </v>
      </c>
      <c r="B24" s="62" t="s">
        <v>497</v>
      </c>
      <c r="C24" s="63">
        <v>5.1100000000000003</v>
      </c>
      <c r="D24" s="18">
        <v>624</v>
      </c>
      <c r="E24" s="18"/>
      <c r="F24" s="2">
        <v>0</v>
      </c>
      <c r="G24" s="2">
        <v>0</v>
      </c>
      <c r="H24" s="18">
        <f t="shared" si="3"/>
        <v>624</v>
      </c>
      <c r="I24" s="1" t="s">
        <v>325</v>
      </c>
    </row>
    <row r="25" spans="1:11" ht="12.95" customHeight="1" x14ac:dyDescent="0.2">
      <c r="A25" s="5" t="str">
        <f t="shared" si="1"/>
        <v xml:space="preserve"> </v>
      </c>
      <c r="B25" s="62" t="s">
        <v>290</v>
      </c>
      <c r="C25" s="63">
        <v>4.9400000000000004</v>
      </c>
      <c r="D25" s="18">
        <v>163</v>
      </c>
      <c r="E25" s="18"/>
      <c r="F25" s="2">
        <v>0</v>
      </c>
      <c r="G25" s="2">
        <v>0</v>
      </c>
      <c r="H25" s="18">
        <f t="shared" si="3"/>
        <v>163</v>
      </c>
      <c r="I25" s="1" t="s">
        <v>274</v>
      </c>
    </row>
    <row r="26" spans="1:11" ht="12.95" customHeight="1" x14ac:dyDescent="0.2">
      <c r="A26" s="15"/>
      <c r="B26" s="4" t="s">
        <v>14</v>
      </c>
      <c r="C26" s="4"/>
      <c r="D26" s="4" t="s">
        <v>2</v>
      </c>
      <c r="E26" s="52"/>
      <c r="F26" s="4"/>
      <c r="G26" s="51"/>
      <c r="H26" s="4" t="s">
        <v>2</v>
      </c>
      <c r="I26" s="1" t="s">
        <v>147</v>
      </c>
    </row>
    <row r="27" spans="1:11" ht="12.95" customHeight="1" x14ac:dyDescent="0.2">
      <c r="A27" s="5" t="str">
        <f t="shared" si="1"/>
        <v xml:space="preserve"> </v>
      </c>
      <c r="B27" s="59" t="s">
        <v>384</v>
      </c>
      <c r="C27" s="2">
        <v>5.77</v>
      </c>
      <c r="D27" s="18">
        <v>418</v>
      </c>
      <c r="E27" s="18"/>
      <c r="F27" s="18">
        <v>0</v>
      </c>
      <c r="G27" s="18">
        <v>34</v>
      </c>
      <c r="H27" s="18">
        <f t="shared" ref="H27:H35" si="4">D27+E27-F27-G27</f>
        <v>384</v>
      </c>
      <c r="I27" s="1" t="s">
        <v>307</v>
      </c>
    </row>
    <row r="28" spans="1:11" ht="12.95" customHeight="1" x14ac:dyDescent="0.2">
      <c r="A28" s="5" t="str">
        <f t="shared" si="1"/>
        <v xml:space="preserve"> </v>
      </c>
      <c r="B28" s="59" t="s">
        <v>498</v>
      </c>
      <c r="C28" s="2">
        <v>6.31</v>
      </c>
      <c r="D28" s="18">
        <v>418</v>
      </c>
      <c r="E28" s="18"/>
      <c r="F28" s="18">
        <v>0</v>
      </c>
      <c r="G28" s="18">
        <v>0</v>
      </c>
      <c r="H28" s="18">
        <f t="shared" si="4"/>
        <v>418</v>
      </c>
      <c r="I28" s="1" t="s">
        <v>308</v>
      </c>
      <c r="K28" s="1" t="s">
        <v>163</v>
      </c>
    </row>
    <row r="29" spans="1:11" ht="12.95" customHeight="1" x14ac:dyDescent="0.2">
      <c r="A29" s="5" t="str">
        <f t="shared" si="1"/>
        <v>LOW</v>
      </c>
      <c r="B29" s="59" t="s">
        <v>172</v>
      </c>
      <c r="C29" s="2">
        <v>6.53</v>
      </c>
      <c r="D29" s="18">
        <v>0</v>
      </c>
      <c r="E29" s="18"/>
      <c r="F29" s="18"/>
      <c r="G29" s="18"/>
      <c r="H29" s="18">
        <f t="shared" si="4"/>
        <v>0</v>
      </c>
      <c r="I29" s="1" t="s">
        <v>143</v>
      </c>
    </row>
    <row r="30" spans="1:11" ht="12.95" customHeight="1" x14ac:dyDescent="0.2">
      <c r="A30" s="5" t="str">
        <f t="shared" si="1"/>
        <v>LOW</v>
      </c>
      <c r="B30" s="59" t="s">
        <v>172</v>
      </c>
      <c r="C30" s="2">
        <v>7.25</v>
      </c>
      <c r="D30" s="18">
        <v>0</v>
      </c>
      <c r="E30" s="18"/>
      <c r="F30" s="18"/>
      <c r="G30" s="18"/>
      <c r="H30" s="18">
        <f t="shared" si="4"/>
        <v>0</v>
      </c>
      <c r="I30" s="1" t="s">
        <v>144</v>
      </c>
    </row>
    <row r="31" spans="1:11" ht="12.95" customHeight="1" x14ac:dyDescent="0.2">
      <c r="A31" s="5" t="str">
        <f t="shared" si="1"/>
        <v>LOW</v>
      </c>
      <c r="B31" s="59" t="s">
        <v>172</v>
      </c>
      <c r="C31" s="5">
        <v>5.52</v>
      </c>
      <c r="D31" s="18">
        <v>0</v>
      </c>
      <c r="E31" s="18"/>
      <c r="F31" s="18"/>
      <c r="G31" s="18"/>
      <c r="H31" s="18">
        <f t="shared" si="4"/>
        <v>0</v>
      </c>
      <c r="I31" s="1" t="s">
        <v>145</v>
      </c>
    </row>
    <row r="32" spans="1:11" ht="12.95" customHeight="1" x14ac:dyDescent="0.2">
      <c r="A32" s="15"/>
      <c r="B32" s="4" t="s">
        <v>177</v>
      </c>
      <c r="C32" s="65"/>
      <c r="D32" s="4" t="s">
        <v>2</v>
      </c>
      <c r="E32" s="52"/>
      <c r="F32" s="4"/>
      <c r="G32" s="51"/>
      <c r="H32" s="4" t="s">
        <v>2</v>
      </c>
      <c r="I32" s="1" t="s">
        <v>147</v>
      </c>
    </row>
    <row r="33" spans="1:19" ht="12.95" customHeight="1" x14ac:dyDescent="0.2">
      <c r="A33" s="5" t="str">
        <f t="shared" si="1"/>
        <v>LOW</v>
      </c>
      <c r="B33" s="61" t="s">
        <v>257</v>
      </c>
      <c r="C33" s="2">
        <v>4.32</v>
      </c>
      <c r="D33" s="2">
        <v>48</v>
      </c>
      <c r="E33" s="2"/>
      <c r="F33" s="2">
        <v>53</v>
      </c>
      <c r="G33" s="2">
        <v>6</v>
      </c>
      <c r="H33" s="18">
        <f t="shared" si="4"/>
        <v>-11</v>
      </c>
      <c r="I33" s="1" t="s">
        <v>178</v>
      </c>
    </row>
    <row r="34" spans="1:19" ht="12.95" customHeight="1" x14ac:dyDescent="0.2">
      <c r="A34" s="5" t="str">
        <f t="shared" si="1"/>
        <v xml:space="preserve"> </v>
      </c>
      <c r="B34" s="61" t="s">
        <v>475</v>
      </c>
      <c r="C34" s="2">
        <v>2.69</v>
      </c>
      <c r="D34" s="2">
        <v>130</v>
      </c>
      <c r="E34" s="2"/>
      <c r="F34" s="2">
        <v>0</v>
      </c>
      <c r="G34" s="2">
        <v>0</v>
      </c>
      <c r="H34" s="18">
        <f t="shared" si="4"/>
        <v>130</v>
      </c>
      <c r="I34" s="1" t="s">
        <v>179</v>
      </c>
    </row>
    <row r="35" spans="1:19" ht="12.95" customHeight="1" x14ac:dyDescent="0.2">
      <c r="A35" s="5" t="str">
        <f t="shared" si="1"/>
        <v>LOW</v>
      </c>
      <c r="B35" s="59" t="s">
        <v>258</v>
      </c>
      <c r="C35" s="2">
        <v>9.5399999999999991</v>
      </c>
      <c r="D35" s="2">
        <v>80</v>
      </c>
      <c r="E35" s="2"/>
      <c r="F35" s="2">
        <v>0</v>
      </c>
      <c r="G35" s="2">
        <v>0</v>
      </c>
      <c r="H35" s="18">
        <f t="shared" si="4"/>
        <v>80</v>
      </c>
      <c r="I35" s="1" t="s">
        <v>180</v>
      </c>
    </row>
    <row r="36" spans="1:19" ht="12.95" customHeight="1" x14ac:dyDescent="0.2">
      <c r="A36" s="15"/>
      <c r="B36" s="123" t="s">
        <v>15</v>
      </c>
      <c r="C36" s="124"/>
      <c r="D36" s="4" t="s">
        <v>2</v>
      </c>
      <c r="E36" s="52"/>
      <c r="F36" s="4"/>
      <c r="G36" s="51"/>
      <c r="H36" s="4" t="s">
        <v>2</v>
      </c>
      <c r="I36" s="1" t="s">
        <v>147</v>
      </c>
    </row>
    <row r="37" spans="1:19" ht="12.95" customHeight="1" x14ac:dyDescent="0.2">
      <c r="A37" s="5" t="str">
        <f t="shared" si="1"/>
        <v xml:space="preserve"> </v>
      </c>
      <c r="B37" s="66" t="s">
        <v>16</v>
      </c>
      <c r="C37" s="67"/>
      <c r="D37" s="18">
        <v>372</v>
      </c>
      <c r="E37" s="18"/>
      <c r="F37" s="18">
        <v>12</v>
      </c>
      <c r="G37" s="18">
        <v>12</v>
      </c>
      <c r="H37" s="18">
        <f t="shared" ref="H37:H46" si="5">D37+E37-F37-G37</f>
        <v>348</v>
      </c>
      <c r="I37" s="1" t="s">
        <v>147</v>
      </c>
    </row>
    <row r="38" spans="1:19" ht="12.95" customHeight="1" x14ac:dyDescent="0.2">
      <c r="A38" s="5" t="str">
        <f t="shared" si="1"/>
        <v>LOW</v>
      </c>
      <c r="B38" s="61" t="s">
        <v>457</v>
      </c>
      <c r="C38" s="67"/>
      <c r="D38" s="18">
        <v>0</v>
      </c>
      <c r="E38" s="18"/>
      <c r="F38" s="18"/>
      <c r="G38" s="18"/>
      <c r="H38" s="18">
        <f t="shared" si="5"/>
        <v>0</v>
      </c>
      <c r="I38" s="1" t="s">
        <v>147</v>
      </c>
    </row>
    <row r="39" spans="1:19" ht="12.95" customHeight="1" x14ac:dyDescent="0.2">
      <c r="A39" s="5" t="str">
        <f t="shared" si="1"/>
        <v>LOW</v>
      </c>
      <c r="B39" s="66" t="s">
        <v>366</v>
      </c>
      <c r="C39" s="67"/>
      <c r="D39" s="18">
        <v>0</v>
      </c>
      <c r="E39" s="18"/>
      <c r="F39" s="18"/>
      <c r="G39" s="18"/>
      <c r="H39" s="18">
        <f t="shared" si="5"/>
        <v>0</v>
      </c>
      <c r="I39" s="1" t="s">
        <v>147</v>
      </c>
      <c r="L39" s="1" t="s">
        <v>78</v>
      </c>
    </row>
    <row r="40" spans="1:19" ht="12.95" customHeight="1" x14ac:dyDescent="0.2">
      <c r="A40" s="5" t="str">
        <f t="shared" si="1"/>
        <v>LOW</v>
      </c>
      <c r="B40" s="66" t="s">
        <v>438</v>
      </c>
      <c r="C40" s="67"/>
      <c r="D40" s="18">
        <v>14</v>
      </c>
      <c r="E40" s="18"/>
      <c r="F40" s="18">
        <v>2</v>
      </c>
      <c r="G40" s="18"/>
      <c r="H40" s="18">
        <f t="shared" si="5"/>
        <v>12</v>
      </c>
      <c r="I40" s="1" t="s">
        <v>147</v>
      </c>
      <c r="J40" s="1" t="s">
        <v>78</v>
      </c>
    </row>
    <row r="41" spans="1:19" ht="12.95" customHeight="1" x14ac:dyDescent="0.2">
      <c r="A41" s="5" t="str">
        <f t="shared" si="1"/>
        <v>LOW</v>
      </c>
      <c r="B41" s="66" t="s">
        <v>370</v>
      </c>
      <c r="C41" s="67"/>
      <c r="D41" s="18">
        <v>0</v>
      </c>
      <c r="E41" s="18"/>
      <c r="F41" s="18"/>
      <c r="G41" s="18"/>
      <c r="H41" s="18">
        <f t="shared" si="5"/>
        <v>0</v>
      </c>
      <c r="I41" s="1" t="s">
        <v>147</v>
      </c>
    </row>
    <row r="42" spans="1:19" ht="12.95" customHeight="1" x14ac:dyDescent="0.2">
      <c r="A42" s="5"/>
      <c r="B42" s="66" t="s">
        <v>447</v>
      </c>
      <c r="C42" s="67"/>
      <c r="D42" s="18">
        <v>0</v>
      </c>
      <c r="E42" s="18"/>
      <c r="F42" s="18"/>
      <c r="G42" s="18"/>
      <c r="H42" s="18">
        <f>D42+E42-F42-G42</f>
        <v>0</v>
      </c>
      <c r="I42" s="1" t="s">
        <v>147</v>
      </c>
    </row>
    <row r="43" spans="1:19" ht="12.95" customHeight="1" x14ac:dyDescent="0.2">
      <c r="A43" s="5" t="str">
        <f t="shared" si="1"/>
        <v>LOW</v>
      </c>
      <c r="B43" s="61" t="s">
        <v>310</v>
      </c>
      <c r="C43" s="67"/>
      <c r="D43" s="18">
        <v>0</v>
      </c>
      <c r="E43" s="18"/>
      <c r="F43" s="18"/>
      <c r="G43" s="18"/>
      <c r="H43" s="18">
        <f t="shared" si="5"/>
        <v>0</v>
      </c>
      <c r="I43" s="1" t="s">
        <v>147</v>
      </c>
    </row>
    <row r="44" spans="1:19" ht="12.95" customHeight="1" x14ac:dyDescent="0.2">
      <c r="A44" s="5" t="str">
        <f t="shared" si="1"/>
        <v xml:space="preserve"> </v>
      </c>
      <c r="B44" s="91" t="s">
        <v>519</v>
      </c>
      <c r="C44" s="67"/>
      <c r="D44" s="18">
        <v>411</v>
      </c>
      <c r="E44" s="18"/>
      <c r="F44" s="80">
        <v>10</v>
      </c>
      <c r="G44" s="80">
        <v>12</v>
      </c>
      <c r="H44" s="18">
        <f t="shared" si="5"/>
        <v>389</v>
      </c>
      <c r="I44" s="1" t="s">
        <v>147</v>
      </c>
    </row>
    <row r="45" spans="1:19" ht="12.95" customHeight="1" x14ac:dyDescent="0.2">
      <c r="A45" s="5" t="str">
        <f t="shared" si="1"/>
        <v>LOW</v>
      </c>
      <c r="B45" s="61" t="s">
        <v>172</v>
      </c>
      <c r="C45" s="67"/>
      <c r="D45" s="18">
        <v>0</v>
      </c>
      <c r="E45" s="18"/>
      <c r="F45" s="2"/>
      <c r="G45" s="2"/>
      <c r="H45" s="18">
        <f t="shared" si="5"/>
        <v>0</v>
      </c>
      <c r="I45" s="1" t="s">
        <v>147</v>
      </c>
    </row>
    <row r="46" spans="1:19" ht="12.95" customHeight="1" x14ac:dyDescent="0.2">
      <c r="A46" s="5" t="str">
        <f t="shared" si="1"/>
        <v>LOW</v>
      </c>
      <c r="B46" s="66" t="s">
        <v>509</v>
      </c>
      <c r="C46" s="67"/>
      <c r="D46" s="18">
        <v>6</v>
      </c>
      <c r="E46" s="18"/>
      <c r="F46" s="2"/>
      <c r="G46" s="2"/>
      <c r="H46" s="18">
        <f t="shared" si="5"/>
        <v>6</v>
      </c>
      <c r="I46" s="1" t="s">
        <v>147</v>
      </c>
      <c r="L46" s="1" t="s">
        <v>78</v>
      </c>
    </row>
    <row r="47" spans="1:19" ht="12.95" customHeight="1" x14ac:dyDescent="0.2">
      <c r="A47" s="15"/>
      <c r="B47" s="68" t="s">
        <v>520</v>
      </c>
      <c r="C47" s="69"/>
      <c r="D47" s="4" t="s">
        <v>2</v>
      </c>
      <c r="E47" s="52"/>
      <c r="F47" s="4"/>
      <c r="G47" s="51"/>
      <c r="H47" s="4" t="s">
        <v>2</v>
      </c>
      <c r="I47" s="1" t="s">
        <v>147</v>
      </c>
    </row>
    <row r="48" spans="1:19" s="6" customFormat="1" ht="12.95" customHeight="1" x14ac:dyDescent="0.2">
      <c r="A48" s="5" t="str">
        <f t="shared" si="1"/>
        <v>LOW</v>
      </c>
      <c r="B48" s="66" t="s">
        <v>510</v>
      </c>
      <c r="C48" s="67"/>
      <c r="D48" s="18">
        <v>9</v>
      </c>
      <c r="E48" s="18"/>
      <c r="F48" s="18"/>
      <c r="G48" s="18"/>
      <c r="H48" s="18">
        <f>D48+E48-F48-G48</f>
        <v>9</v>
      </c>
      <c r="I48" s="1" t="s">
        <v>147</v>
      </c>
      <c r="J48" s="1" t="s">
        <v>147</v>
      </c>
      <c r="K48" s="1"/>
      <c r="L48" s="1"/>
      <c r="M48" s="1"/>
      <c r="N48" s="1"/>
      <c r="O48" s="1"/>
      <c r="P48" s="1"/>
      <c r="Q48" s="1"/>
      <c r="R48" s="1"/>
      <c r="S48" s="1"/>
    </row>
    <row r="49" spans="1:19" ht="12.95" customHeight="1" x14ac:dyDescent="0.2">
      <c r="A49" s="5" t="str">
        <f t="shared" si="1"/>
        <v>LOW</v>
      </c>
      <c r="B49" s="66" t="s">
        <v>511</v>
      </c>
      <c r="C49" s="67"/>
      <c r="D49" s="18">
        <v>3</v>
      </c>
      <c r="E49" s="18"/>
      <c r="F49" s="18"/>
      <c r="G49" s="18"/>
      <c r="H49" s="18">
        <f>D49+E49-F49-G49</f>
        <v>3</v>
      </c>
      <c r="I49" s="1" t="s">
        <v>147</v>
      </c>
      <c r="J49" s="1" t="s">
        <v>147</v>
      </c>
      <c r="S49" s="6"/>
    </row>
    <row r="50" spans="1:19" ht="12.95" customHeight="1" x14ac:dyDescent="0.2">
      <c r="A50" s="5" t="str">
        <f t="shared" si="1"/>
        <v>LOW</v>
      </c>
      <c r="B50" s="66" t="s">
        <v>17</v>
      </c>
      <c r="C50" s="67"/>
      <c r="D50" s="18">
        <v>31</v>
      </c>
      <c r="E50" s="18"/>
      <c r="F50" s="18"/>
      <c r="G50" s="18"/>
      <c r="H50" s="18">
        <f>D50+E50-F50-G50</f>
        <v>31</v>
      </c>
      <c r="I50" s="1" t="s">
        <v>147</v>
      </c>
      <c r="J50" s="1" t="s">
        <v>147</v>
      </c>
    </row>
    <row r="51" spans="1:19" ht="12.95" customHeight="1" x14ac:dyDescent="0.2">
      <c r="A51" s="5" t="str">
        <f t="shared" si="1"/>
        <v>LOW</v>
      </c>
      <c r="B51" s="66" t="s">
        <v>512</v>
      </c>
      <c r="C51" s="67"/>
      <c r="D51" s="18">
        <v>2</v>
      </c>
      <c r="E51" s="18"/>
      <c r="F51" s="18"/>
      <c r="G51" s="18"/>
      <c r="H51" s="18">
        <f>D51+E51-F51-G51</f>
        <v>2</v>
      </c>
      <c r="I51" s="1" t="s">
        <v>147</v>
      </c>
      <c r="J51" s="1" t="s">
        <v>147</v>
      </c>
    </row>
    <row r="52" spans="1:19" ht="12.95" customHeight="1" x14ac:dyDescent="0.2">
      <c r="A52" s="15"/>
      <c r="B52" s="68" t="s">
        <v>521</v>
      </c>
      <c r="C52" s="69"/>
      <c r="D52" s="4" t="s">
        <v>42</v>
      </c>
      <c r="E52" s="52"/>
      <c r="F52" s="4" t="s">
        <v>5</v>
      </c>
      <c r="G52" s="51" t="s">
        <v>6</v>
      </c>
      <c r="H52" s="4" t="s">
        <v>42</v>
      </c>
      <c r="I52" s="6" t="s">
        <v>147</v>
      </c>
      <c r="J52" s="6" t="s">
        <v>147</v>
      </c>
      <c r="K52" s="6"/>
      <c r="L52" s="6"/>
      <c r="M52" s="6"/>
      <c r="N52" s="6"/>
      <c r="O52" s="6"/>
      <c r="P52" s="6"/>
      <c r="Q52" s="6"/>
      <c r="R52" s="6"/>
    </row>
    <row r="53" spans="1:19" ht="12.95" customHeight="1" x14ac:dyDescent="0.2">
      <c r="A53" s="5" t="str">
        <f t="shared" si="1"/>
        <v>LOW</v>
      </c>
      <c r="B53" s="66" t="s">
        <v>476</v>
      </c>
      <c r="C53" s="67"/>
      <c r="D53" s="19">
        <v>52.2</v>
      </c>
      <c r="E53" s="19"/>
      <c r="F53" s="19">
        <f t="shared" ref="F53:F70" si="6">IFERROR(K53*N53,0)</f>
        <v>0</v>
      </c>
      <c r="G53" s="19">
        <f t="shared" ref="G53:G59" si="7">IFERROR(K53*O53,0)</f>
        <v>0</v>
      </c>
      <c r="H53" s="19">
        <f>D53+E53-F53-G53</f>
        <v>52.2</v>
      </c>
      <c r="I53" s="1" t="s">
        <v>148</v>
      </c>
      <c r="J53" s="1" t="s">
        <v>147</v>
      </c>
      <c r="K53" s="1">
        <v>0.25</v>
      </c>
      <c r="N53" s="1">
        <v>0</v>
      </c>
      <c r="O53" s="1">
        <v>0</v>
      </c>
    </row>
    <row r="54" spans="1:19" ht="12.95" customHeight="1" x14ac:dyDescent="0.2">
      <c r="A54" s="5" t="str">
        <f t="shared" si="1"/>
        <v xml:space="preserve"> </v>
      </c>
      <c r="B54" s="66" t="s">
        <v>348</v>
      </c>
      <c r="C54" s="67"/>
      <c r="D54" s="19">
        <v>165.61</v>
      </c>
      <c r="E54" s="19"/>
      <c r="F54" s="19">
        <f t="shared" si="6"/>
        <v>0</v>
      </c>
      <c r="G54" s="19">
        <f t="shared" si="7"/>
        <v>0</v>
      </c>
      <c r="H54" s="19">
        <f t="shared" ref="H54:H59" si="8">D54+E54-F54-G54</f>
        <v>165.61</v>
      </c>
      <c r="I54" s="1" t="s">
        <v>147</v>
      </c>
      <c r="J54" s="1" t="s">
        <v>147</v>
      </c>
      <c r="K54" s="1">
        <v>0.25</v>
      </c>
    </row>
    <row r="55" spans="1:19" ht="12.95" customHeight="1" x14ac:dyDescent="0.2">
      <c r="A55" s="5" t="str">
        <f t="shared" si="1"/>
        <v xml:space="preserve"> </v>
      </c>
      <c r="B55" s="66" t="s">
        <v>47</v>
      </c>
      <c r="C55" s="67"/>
      <c r="D55" s="19">
        <v>154.66</v>
      </c>
      <c r="E55" s="19"/>
      <c r="F55" s="19">
        <f t="shared" si="6"/>
        <v>0</v>
      </c>
      <c r="G55" s="19">
        <f t="shared" si="7"/>
        <v>0</v>
      </c>
      <c r="H55" s="19">
        <f t="shared" si="8"/>
        <v>154.66</v>
      </c>
      <c r="I55" s="1" t="s">
        <v>147</v>
      </c>
      <c r="J55" s="1" t="s">
        <v>147</v>
      </c>
      <c r="K55" s="1" t="s">
        <v>158</v>
      </c>
    </row>
    <row r="56" spans="1:19" ht="12.95" customHeight="1" x14ac:dyDescent="0.2">
      <c r="A56" s="5" t="str">
        <f t="shared" si="1"/>
        <v>LOW</v>
      </c>
      <c r="B56" s="66" t="s">
        <v>291</v>
      </c>
      <c r="C56" s="67"/>
      <c r="D56" s="19">
        <v>45.26</v>
      </c>
      <c r="E56" s="19"/>
      <c r="F56" s="19">
        <f t="shared" si="6"/>
        <v>0</v>
      </c>
      <c r="G56" s="19">
        <f t="shared" si="7"/>
        <v>0</v>
      </c>
      <c r="H56" s="19">
        <f t="shared" si="8"/>
        <v>45.26</v>
      </c>
      <c r="I56" s="1" t="s">
        <v>280</v>
      </c>
      <c r="J56" s="1" t="s">
        <v>147</v>
      </c>
      <c r="K56" s="1">
        <v>0.25</v>
      </c>
    </row>
    <row r="57" spans="1:19" ht="12.95" customHeight="1" x14ac:dyDescent="0.2">
      <c r="A57" s="5" t="str">
        <f t="shared" si="1"/>
        <v>LOW</v>
      </c>
      <c r="B57" s="66" t="s">
        <v>499</v>
      </c>
      <c r="C57" s="67"/>
      <c r="D57" s="19">
        <v>7.9499999999999886</v>
      </c>
      <c r="E57" s="19"/>
      <c r="F57" s="19">
        <f t="shared" si="6"/>
        <v>0</v>
      </c>
      <c r="G57" s="19">
        <f t="shared" si="7"/>
        <v>0</v>
      </c>
      <c r="H57" s="19">
        <f t="shared" si="8"/>
        <v>7.9499999999999886</v>
      </c>
      <c r="I57" s="1" t="s">
        <v>156</v>
      </c>
      <c r="J57" s="1" t="s">
        <v>147</v>
      </c>
      <c r="K57" s="1">
        <v>0.25</v>
      </c>
      <c r="N57" s="1">
        <v>0</v>
      </c>
      <c r="O57" s="1">
        <v>0</v>
      </c>
    </row>
    <row r="58" spans="1:19" ht="12.95" customHeight="1" x14ac:dyDescent="0.2">
      <c r="A58" s="5" t="str">
        <f t="shared" si="1"/>
        <v>LOW</v>
      </c>
      <c r="B58" s="66" t="s">
        <v>19</v>
      </c>
      <c r="C58" s="67"/>
      <c r="D58" s="19">
        <v>19.98</v>
      </c>
      <c r="E58" s="19"/>
      <c r="F58" s="19">
        <f t="shared" si="6"/>
        <v>0</v>
      </c>
      <c r="G58" s="19">
        <f t="shared" si="7"/>
        <v>0</v>
      </c>
      <c r="H58" s="19">
        <f t="shared" si="8"/>
        <v>19.98</v>
      </c>
      <c r="I58" s="1" t="s">
        <v>147</v>
      </c>
      <c r="J58" s="1" t="s">
        <v>147</v>
      </c>
      <c r="K58" s="1" t="s">
        <v>158</v>
      </c>
    </row>
    <row r="59" spans="1:19" ht="12.95" customHeight="1" x14ac:dyDescent="0.2">
      <c r="A59" s="5">
        <v>7</v>
      </c>
      <c r="B59" s="66" t="s">
        <v>292</v>
      </c>
      <c r="C59" s="67"/>
      <c r="D59" s="19">
        <v>121.2</v>
      </c>
      <c r="E59" s="19"/>
      <c r="F59" s="19">
        <f t="shared" si="6"/>
        <v>0</v>
      </c>
      <c r="G59" s="19">
        <f t="shared" si="7"/>
        <v>0</v>
      </c>
      <c r="H59" s="19">
        <f t="shared" si="8"/>
        <v>121.2</v>
      </c>
      <c r="I59" s="1" t="s">
        <v>276</v>
      </c>
      <c r="J59" s="1" t="s">
        <v>147</v>
      </c>
      <c r="K59" s="1">
        <v>0.35</v>
      </c>
      <c r="N59" s="1">
        <v>0</v>
      </c>
      <c r="O59" s="1">
        <v>0</v>
      </c>
    </row>
    <row r="60" spans="1:19" ht="12.95" customHeight="1" x14ac:dyDescent="0.2">
      <c r="A60" s="15"/>
      <c r="B60" s="68" t="s">
        <v>20</v>
      </c>
      <c r="C60" s="69"/>
      <c r="D60" s="4" t="s">
        <v>42</v>
      </c>
      <c r="E60" s="52"/>
      <c r="F60" s="49" t="s">
        <v>5</v>
      </c>
      <c r="G60" s="51" t="s">
        <v>6</v>
      </c>
      <c r="H60" s="4" t="s">
        <v>42</v>
      </c>
      <c r="I60" s="1" t="s">
        <v>147</v>
      </c>
      <c r="J60" s="1" t="s">
        <v>147</v>
      </c>
      <c r="K60" s="1" t="s">
        <v>158</v>
      </c>
    </row>
    <row r="61" spans="1:19" ht="12.95" customHeight="1" x14ac:dyDescent="0.2">
      <c r="A61" s="5" t="str">
        <f t="shared" si="1"/>
        <v xml:space="preserve"> </v>
      </c>
      <c r="B61" s="66" t="s">
        <v>479</v>
      </c>
      <c r="C61" s="67"/>
      <c r="D61" s="19">
        <v>256.90000000000003</v>
      </c>
      <c r="E61" s="19"/>
      <c r="F61" s="19">
        <f t="shared" si="6"/>
        <v>3.4000000000000004</v>
      </c>
      <c r="G61" s="19">
        <f>IFERROR(K61*O61,0)</f>
        <v>0</v>
      </c>
      <c r="H61" s="19">
        <f>D61+E61-F61-G61</f>
        <v>253.50000000000003</v>
      </c>
      <c r="I61" s="1" t="s">
        <v>150</v>
      </c>
      <c r="J61" s="1" t="s">
        <v>147</v>
      </c>
      <c r="K61" s="1">
        <v>0.2</v>
      </c>
      <c r="N61" s="1">
        <v>17</v>
      </c>
      <c r="O61" s="1">
        <v>0</v>
      </c>
    </row>
    <row r="62" spans="1:19" ht="12.95" customHeight="1" x14ac:dyDescent="0.2">
      <c r="A62" s="5" t="str">
        <f t="shared" si="1"/>
        <v>LOW</v>
      </c>
      <c r="B62" s="66" t="s">
        <v>294</v>
      </c>
      <c r="C62" s="67"/>
      <c r="D62" s="19">
        <v>71.84999999999998</v>
      </c>
      <c r="E62" s="19"/>
      <c r="F62" s="19">
        <f t="shared" si="6"/>
        <v>0</v>
      </c>
      <c r="G62" s="19">
        <f t="shared" ref="G62" si="9">IFERROR(K62*O62,0)</f>
        <v>0</v>
      </c>
      <c r="H62" s="19">
        <f>D62+E62-F62-G62</f>
        <v>71.84999999999998</v>
      </c>
      <c r="I62" s="1" t="s">
        <v>151</v>
      </c>
      <c r="J62" s="1" t="s">
        <v>147</v>
      </c>
      <c r="K62" s="1">
        <v>0.34</v>
      </c>
      <c r="L62" s="22"/>
      <c r="N62" s="1">
        <v>0</v>
      </c>
      <c r="O62" s="1">
        <v>0</v>
      </c>
    </row>
    <row r="63" spans="1:19" s="3" customFormat="1" ht="12.95" customHeight="1" x14ac:dyDescent="0.2">
      <c r="A63" s="5" t="str">
        <f t="shared" si="1"/>
        <v xml:space="preserve"> </v>
      </c>
      <c r="B63" s="66" t="s">
        <v>448</v>
      </c>
      <c r="C63" s="67"/>
      <c r="D63" s="19">
        <v>315.92000000000007</v>
      </c>
      <c r="E63" s="19"/>
      <c r="F63" s="19">
        <f>IFERROR(K63*N63,0)</f>
        <v>0</v>
      </c>
      <c r="G63" s="19">
        <f>IFERROR(K63*O63,0)</f>
        <v>11.56</v>
      </c>
      <c r="H63" s="19">
        <f>D63+E63-F63-G63</f>
        <v>304.36000000000007</v>
      </c>
      <c r="I63" s="1" t="s">
        <v>152</v>
      </c>
      <c r="J63" s="1" t="s">
        <v>147</v>
      </c>
      <c r="K63" s="1">
        <v>0.34</v>
      </c>
      <c r="L63" s="1"/>
      <c r="M63" s="1"/>
      <c r="N63" s="1">
        <v>0</v>
      </c>
      <c r="O63" s="1">
        <v>34</v>
      </c>
      <c r="P63" s="1"/>
      <c r="Q63" s="1"/>
      <c r="R63" s="1"/>
    </row>
    <row r="64" spans="1:19" ht="12.75" customHeight="1" x14ac:dyDescent="0.2">
      <c r="A64" s="5" t="str">
        <f t="shared" si="1"/>
        <v xml:space="preserve"> </v>
      </c>
      <c r="B64" s="66" t="s">
        <v>295</v>
      </c>
      <c r="C64" s="67"/>
      <c r="D64" s="19">
        <v>173.10999999999996</v>
      </c>
      <c r="E64" s="19"/>
      <c r="F64" s="19">
        <f>IFERROR(K64*N64,0)</f>
        <v>0</v>
      </c>
      <c r="G64" s="19">
        <f>IFERROR(K64*O64,0)</f>
        <v>0</v>
      </c>
      <c r="H64" s="19">
        <f>D64+E64-F64-G64</f>
        <v>173.10999999999996</v>
      </c>
      <c r="I64" s="1" t="s">
        <v>153</v>
      </c>
      <c r="J64" s="1" t="s">
        <v>147</v>
      </c>
      <c r="K64" s="1">
        <v>0.23</v>
      </c>
      <c r="N64" s="1">
        <v>0</v>
      </c>
      <c r="O64" s="1">
        <v>0</v>
      </c>
    </row>
    <row r="65" spans="1:18" x14ac:dyDescent="0.2">
      <c r="A65" s="5" t="str">
        <f t="shared" si="1"/>
        <v>LOW</v>
      </c>
      <c r="B65" s="6" t="s">
        <v>477</v>
      </c>
      <c r="C65" s="6"/>
      <c r="D65" s="19">
        <v>81.849999999999994</v>
      </c>
      <c r="E65" s="117"/>
      <c r="F65" s="19">
        <f t="shared" ref="F65:F68" si="10">IFERROR(K65*N65,0)</f>
        <v>10.600000000000001</v>
      </c>
      <c r="G65" s="19">
        <f t="shared" ref="G65:G70" si="11">IFERROR(K65*O65,0)</f>
        <v>1.2000000000000002</v>
      </c>
      <c r="H65" s="19">
        <f t="shared" ref="H65:H66" si="12">D65+E65-F65-G65</f>
        <v>70.05</v>
      </c>
      <c r="I65" s="1" t="s">
        <v>181</v>
      </c>
      <c r="J65" s="1" t="s">
        <v>147</v>
      </c>
      <c r="K65" s="1">
        <v>0.2</v>
      </c>
      <c r="N65" s="1">
        <v>53</v>
      </c>
      <c r="O65" s="1">
        <v>6</v>
      </c>
    </row>
    <row r="66" spans="1:18" x14ac:dyDescent="0.2">
      <c r="A66" s="5" t="str">
        <f t="shared" si="1"/>
        <v xml:space="preserve"> </v>
      </c>
      <c r="B66" s="66" t="s">
        <v>478</v>
      </c>
      <c r="C66" s="67"/>
      <c r="D66" s="19">
        <v>187.82999999999998</v>
      </c>
      <c r="E66" s="19"/>
      <c r="F66" s="19">
        <f t="shared" si="10"/>
        <v>0</v>
      </c>
      <c r="G66" s="19">
        <f t="shared" si="11"/>
        <v>0</v>
      </c>
      <c r="H66" s="19">
        <f t="shared" si="12"/>
        <v>187.82999999999998</v>
      </c>
      <c r="I66" s="1" t="s">
        <v>182</v>
      </c>
      <c r="J66" s="1" t="s">
        <v>147</v>
      </c>
      <c r="K66" s="1">
        <v>0.13</v>
      </c>
      <c r="N66" s="1">
        <v>0</v>
      </c>
      <c r="O66" s="1">
        <v>0</v>
      </c>
    </row>
    <row r="67" spans="1:18" x14ac:dyDescent="0.2">
      <c r="A67" s="15"/>
      <c r="B67" s="68" t="s">
        <v>55</v>
      </c>
      <c r="C67" s="69"/>
      <c r="D67" s="4" t="s">
        <v>42</v>
      </c>
      <c r="E67" s="52"/>
      <c r="F67" s="49" t="s">
        <v>5</v>
      </c>
      <c r="G67" s="51" t="s">
        <v>6</v>
      </c>
      <c r="H67" s="4" t="s">
        <v>42</v>
      </c>
      <c r="I67" s="3" t="s">
        <v>147</v>
      </c>
      <c r="J67" s="3" t="s">
        <v>147</v>
      </c>
      <c r="K67" s="1" t="s">
        <v>158</v>
      </c>
      <c r="L67" s="3"/>
      <c r="M67" s="3"/>
      <c r="N67" s="3"/>
      <c r="O67" s="3"/>
      <c r="P67" s="3"/>
      <c r="Q67" s="3"/>
      <c r="R67" s="3"/>
    </row>
    <row r="68" spans="1:18" x14ac:dyDescent="0.2">
      <c r="A68" s="5" t="str">
        <f t="shared" si="1"/>
        <v>LOW</v>
      </c>
      <c r="B68" s="66" t="s">
        <v>480</v>
      </c>
      <c r="C68" s="67"/>
      <c r="D68" s="19">
        <v>74.812000000000026</v>
      </c>
      <c r="E68" s="19"/>
      <c r="F68" s="19">
        <f t="shared" si="10"/>
        <v>5.8800000000000008</v>
      </c>
      <c r="G68" s="19">
        <f t="shared" si="11"/>
        <v>5.2080000000000002</v>
      </c>
      <c r="H68" s="19">
        <f>D68+E68-F68-G68</f>
        <v>63.724000000000032</v>
      </c>
      <c r="I68" s="1" t="s">
        <v>154</v>
      </c>
      <c r="J68" s="1" t="s">
        <v>157</v>
      </c>
      <c r="K68" s="1">
        <v>0.16800000000000001</v>
      </c>
      <c r="N68" s="1">
        <v>35</v>
      </c>
      <c r="O68" s="1">
        <v>31</v>
      </c>
    </row>
    <row r="69" spans="1:18" x14ac:dyDescent="0.2">
      <c r="A69" s="5" t="str">
        <f t="shared" ref="A69:A70" si="13">IF(H69&lt;100,"LOW"," ")</f>
        <v xml:space="preserve"> </v>
      </c>
      <c r="B69" s="66" t="s">
        <v>296</v>
      </c>
      <c r="C69" s="67"/>
      <c r="D69" s="19">
        <v>103.94000000000003</v>
      </c>
      <c r="E69" s="19"/>
      <c r="F69" s="19">
        <f t="shared" si="6"/>
        <v>0</v>
      </c>
      <c r="G69" s="19">
        <f t="shared" si="11"/>
        <v>0</v>
      </c>
      <c r="H69" s="19">
        <f>D69+E69-F69-G69</f>
        <v>103.94000000000003</v>
      </c>
      <c r="I69" s="1" t="s">
        <v>155</v>
      </c>
      <c r="J69" s="1" t="s">
        <v>147</v>
      </c>
      <c r="K69" s="1">
        <v>0.19</v>
      </c>
      <c r="N69" s="1">
        <v>0</v>
      </c>
      <c r="O69" s="1">
        <v>0</v>
      </c>
    </row>
    <row r="70" spans="1:18" x14ac:dyDescent="0.2">
      <c r="A70" s="5" t="str">
        <f t="shared" si="13"/>
        <v>LOW</v>
      </c>
      <c r="B70" s="61" t="s">
        <v>481</v>
      </c>
      <c r="C70" s="61"/>
      <c r="D70" s="19">
        <v>0</v>
      </c>
      <c r="E70" s="2"/>
      <c r="F70" s="19">
        <f t="shared" si="6"/>
        <v>0</v>
      </c>
      <c r="G70" s="19">
        <f t="shared" si="11"/>
        <v>0</v>
      </c>
      <c r="H70" s="19">
        <f>D70+E70-F70-G70</f>
        <v>0</v>
      </c>
      <c r="I70" s="1" t="s">
        <v>357</v>
      </c>
      <c r="J70" s="1" t="s">
        <v>147</v>
      </c>
      <c r="K70" s="1">
        <v>0.25</v>
      </c>
      <c r="N70" s="1">
        <v>0</v>
      </c>
      <c r="O70" s="1">
        <v>0</v>
      </c>
    </row>
    <row r="71" spans="1:18" ht="18.75" x14ac:dyDescent="0.25">
      <c r="A71" s="5"/>
      <c r="B71" s="104" t="s">
        <v>353</v>
      </c>
      <c r="C71" s="69"/>
      <c r="D71" s="4" t="s">
        <v>42</v>
      </c>
      <c r="E71" s="108"/>
      <c r="F71" s="49" t="s">
        <v>5</v>
      </c>
      <c r="G71" s="51" t="s">
        <v>6</v>
      </c>
      <c r="H71" s="4" t="s">
        <v>42</v>
      </c>
      <c r="I71" s="1" t="s">
        <v>147</v>
      </c>
      <c r="J71" s="3" t="s">
        <v>147</v>
      </c>
      <c r="K71" s="1" t="s">
        <v>158</v>
      </c>
    </row>
    <row r="72" spans="1:18" ht="18.75" x14ac:dyDescent="0.25">
      <c r="A72" s="93"/>
      <c r="B72" s="110" t="s">
        <v>354</v>
      </c>
      <c r="C72" s="106"/>
      <c r="D72" s="96"/>
      <c r="E72" s="96"/>
      <c r="F72" s="80"/>
      <c r="G72" s="80"/>
      <c r="H72" s="96"/>
      <c r="I72" s="1" t="s">
        <v>147</v>
      </c>
      <c r="J72" s="1" t="s">
        <v>147</v>
      </c>
      <c r="K72" s="1" t="s">
        <v>147</v>
      </c>
    </row>
    <row r="73" spans="1:18" ht="15.75" x14ac:dyDescent="0.2">
      <c r="A73" s="93" t="str">
        <f t="shared" ref="A73:A100" si="14">IF(H73&lt;100,"LOW"," ")</f>
        <v>LOW</v>
      </c>
      <c r="B73" s="105" t="s">
        <v>514</v>
      </c>
      <c r="C73" s="106"/>
      <c r="D73" s="96">
        <v>9</v>
      </c>
      <c r="E73" s="96"/>
      <c r="F73" s="80"/>
      <c r="G73" s="80"/>
      <c r="H73" s="96">
        <f t="shared" ref="H73:H100" si="15">D73+E73-F73-G73</f>
        <v>9</v>
      </c>
      <c r="I73" s="1" t="s">
        <v>147</v>
      </c>
      <c r="J73" s="1" t="s">
        <v>147</v>
      </c>
      <c r="K73" s="1" t="s">
        <v>147</v>
      </c>
    </row>
    <row r="74" spans="1:18" ht="15.75" x14ac:dyDescent="0.2">
      <c r="A74" s="93" t="str">
        <f t="shared" si="14"/>
        <v>LOW</v>
      </c>
      <c r="B74" s="105" t="s">
        <v>515</v>
      </c>
      <c r="C74" s="106"/>
      <c r="D74" s="96">
        <v>6</v>
      </c>
      <c r="E74" s="96"/>
      <c r="F74" s="80"/>
      <c r="G74" s="80"/>
      <c r="H74" s="96">
        <f t="shared" si="15"/>
        <v>6</v>
      </c>
      <c r="I74" s="1" t="s">
        <v>147</v>
      </c>
      <c r="J74" s="1" t="s">
        <v>147</v>
      </c>
      <c r="K74" s="1" t="s">
        <v>147</v>
      </c>
      <c r="Q74" s="1" t="s">
        <v>78</v>
      </c>
    </row>
    <row r="75" spans="1:18" ht="15.75" x14ac:dyDescent="0.2">
      <c r="A75" s="93" t="str">
        <f t="shared" si="14"/>
        <v>LOW</v>
      </c>
      <c r="B75" s="105" t="s">
        <v>486</v>
      </c>
      <c r="C75" s="106"/>
      <c r="D75" s="96">
        <v>0</v>
      </c>
      <c r="E75" s="96"/>
      <c r="F75" s="80"/>
      <c r="G75" s="80"/>
      <c r="H75" s="96">
        <f t="shared" si="15"/>
        <v>0</v>
      </c>
      <c r="I75" s="1" t="s">
        <v>147</v>
      </c>
      <c r="J75" s="1" t="s">
        <v>147</v>
      </c>
      <c r="K75" s="1" t="s">
        <v>147</v>
      </c>
    </row>
    <row r="76" spans="1:18" ht="15.75" x14ac:dyDescent="0.2">
      <c r="A76" s="93" t="str">
        <f t="shared" si="14"/>
        <v>LOW</v>
      </c>
      <c r="B76" s="105" t="s">
        <v>485</v>
      </c>
      <c r="C76" s="106"/>
      <c r="D76" s="96">
        <v>37</v>
      </c>
      <c r="E76" s="96"/>
      <c r="F76" s="80">
        <v>2</v>
      </c>
      <c r="G76" s="80"/>
      <c r="H76" s="96">
        <f t="shared" si="15"/>
        <v>35</v>
      </c>
      <c r="I76" s="1" t="s">
        <v>147</v>
      </c>
      <c r="J76" s="1" t="s">
        <v>147</v>
      </c>
      <c r="K76" s="1" t="s">
        <v>147</v>
      </c>
    </row>
    <row r="77" spans="1:18" ht="15.75" x14ac:dyDescent="0.2">
      <c r="A77" s="93" t="str">
        <f t="shared" si="14"/>
        <v>LOW</v>
      </c>
      <c r="B77" s="105" t="s">
        <v>487</v>
      </c>
      <c r="C77" s="106"/>
      <c r="D77" s="96">
        <v>38</v>
      </c>
      <c r="E77" s="96"/>
      <c r="F77" s="80">
        <v>2</v>
      </c>
      <c r="G77" s="80"/>
      <c r="H77" s="96">
        <f t="shared" si="15"/>
        <v>36</v>
      </c>
      <c r="I77" s="1" t="s">
        <v>147</v>
      </c>
      <c r="J77" s="1" t="s">
        <v>147</v>
      </c>
      <c r="K77" s="1" t="s">
        <v>147</v>
      </c>
    </row>
    <row r="78" spans="1:18" ht="15.75" x14ac:dyDescent="0.2">
      <c r="A78" s="93" t="str">
        <f t="shared" si="14"/>
        <v>LOW</v>
      </c>
      <c r="B78" s="105" t="s">
        <v>482</v>
      </c>
      <c r="C78" s="106"/>
      <c r="D78" s="96">
        <v>0</v>
      </c>
      <c r="E78" s="96"/>
      <c r="F78" s="80"/>
      <c r="G78" s="80"/>
      <c r="H78" s="96">
        <f t="shared" si="15"/>
        <v>0</v>
      </c>
      <c r="I78" s="1" t="s">
        <v>147</v>
      </c>
      <c r="J78" s="1" t="s">
        <v>147</v>
      </c>
      <c r="K78" s="1" t="s">
        <v>147</v>
      </c>
    </row>
    <row r="79" spans="1:18" ht="15.75" x14ac:dyDescent="0.2">
      <c r="A79" s="93" t="str">
        <f t="shared" si="14"/>
        <v>LOW</v>
      </c>
      <c r="B79" s="105" t="s">
        <v>483</v>
      </c>
      <c r="C79" s="106"/>
      <c r="D79" s="96">
        <v>0</v>
      </c>
      <c r="E79" s="96"/>
      <c r="F79" s="80"/>
      <c r="G79" s="80"/>
      <c r="H79" s="96">
        <f t="shared" si="15"/>
        <v>0</v>
      </c>
      <c r="I79" s="1" t="s">
        <v>147</v>
      </c>
      <c r="J79" s="1" t="s">
        <v>147</v>
      </c>
      <c r="K79" s="1" t="s">
        <v>147</v>
      </c>
    </row>
    <row r="80" spans="1:18" ht="15.75" x14ac:dyDescent="0.2">
      <c r="A80" s="93" t="str">
        <f t="shared" si="14"/>
        <v>LOW</v>
      </c>
      <c r="B80" s="105" t="s">
        <v>484</v>
      </c>
      <c r="C80" s="106"/>
      <c r="D80" s="96">
        <v>0</v>
      </c>
      <c r="E80" s="96"/>
      <c r="F80" s="80"/>
      <c r="G80" s="80"/>
      <c r="H80" s="96">
        <f t="shared" si="15"/>
        <v>0</v>
      </c>
      <c r="I80" s="1" t="s">
        <v>147</v>
      </c>
      <c r="J80" s="1" t="s">
        <v>147</v>
      </c>
      <c r="K80" s="1" t="s">
        <v>147</v>
      </c>
    </row>
    <row r="81" spans="1:16" ht="15.75" x14ac:dyDescent="0.2">
      <c r="A81" s="93" t="str">
        <f t="shared" si="14"/>
        <v>LOW</v>
      </c>
      <c r="B81" s="105" t="s">
        <v>500</v>
      </c>
      <c r="C81" s="106"/>
      <c r="D81" s="96">
        <v>0</v>
      </c>
      <c r="E81" s="96"/>
      <c r="F81" s="80"/>
      <c r="G81" s="80"/>
      <c r="H81" s="96">
        <f t="shared" si="15"/>
        <v>0</v>
      </c>
      <c r="I81" s="1" t="s">
        <v>147</v>
      </c>
      <c r="J81" s="1" t="s">
        <v>147</v>
      </c>
      <c r="K81" s="1" t="s">
        <v>147</v>
      </c>
    </row>
    <row r="82" spans="1:16" ht="15.75" x14ac:dyDescent="0.2">
      <c r="A82" s="93" t="str">
        <f t="shared" si="14"/>
        <v xml:space="preserve"> </v>
      </c>
      <c r="B82" s="105" t="s">
        <v>508</v>
      </c>
      <c r="C82" s="106"/>
      <c r="D82" s="96">
        <v>120</v>
      </c>
      <c r="E82" s="96"/>
      <c r="F82" s="80">
        <v>14</v>
      </c>
      <c r="G82" s="80"/>
      <c r="H82" s="96">
        <f t="shared" si="15"/>
        <v>106</v>
      </c>
      <c r="I82" s="1" t="s">
        <v>147</v>
      </c>
      <c r="J82" s="1" t="s">
        <v>147</v>
      </c>
      <c r="K82" s="1" t="s">
        <v>147</v>
      </c>
    </row>
    <row r="83" spans="1:16" ht="15.75" x14ac:dyDescent="0.2">
      <c r="A83" s="93" t="str">
        <f t="shared" si="14"/>
        <v>LOW</v>
      </c>
      <c r="B83" s="105"/>
      <c r="C83" s="106"/>
      <c r="D83" s="96">
        <v>0</v>
      </c>
      <c r="E83" s="96"/>
      <c r="F83" s="80"/>
      <c r="G83" s="80"/>
      <c r="H83" s="96">
        <f t="shared" si="15"/>
        <v>0</v>
      </c>
      <c r="I83" s="1" t="s">
        <v>147</v>
      </c>
      <c r="J83" s="1" t="s">
        <v>147</v>
      </c>
      <c r="K83" s="1" t="s">
        <v>147</v>
      </c>
    </row>
    <row r="84" spans="1:16" ht="15.75" x14ac:dyDescent="0.2">
      <c r="A84" s="93" t="str">
        <f t="shared" si="14"/>
        <v>LOW</v>
      </c>
      <c r="B84" s="105"/>
      <c r="C84" s="106"/>
      <c r="D84" s="96">
        <v>0</v>
      </c>
      <c r="E84" s="96"/>
      <c r="F84" s="80"/>
      <c r="G84" s="80"/>
      <c r="H84" s="96">
        <f t="shared" si="15"/>
        <v>0</v>
      </c>
      <c r="I84" s="1" t="s">
        <v>147</v>
      </c>
      <c r="J84" s="1" t="s">
        <v>147</v>
      </c>
      <c r="K84" s="1" t="s">
        <v>147</v>
      </c>
    </row>
    <row r="85" spans="1:16" ht="15.75" x14ac:dyDescent="0.2">
      <c r="A85" s="93" t="str">
        <f t="shared" si="14"/>
        <v>LOW</v>
      </c>
      <c r="B85" s="105"/>
      <c r="C85" s="106"/>
      <c r="D85" s="96">
        <v>0</v>
      </c>
      <c r="E85" s="96"/>
      <c r="F85" s="80"/>
      <c r="G85" s="80"/>
      <c r="H85" s="96">
        <f t="shared" si="15"/>
        <v>0</v>
      </c>
      <c r="I85" s="1" t="s">
        <v>147</v>
      </c>
      <c r="J85" s="1" t="s">
        <v>147</v>
      </c>
      <c r="K85" s="1" t="s">
        <v>147</v>
      </c>
      <c r="P85" s="1" t="s">
        <v>78</v>
      </c>
    </row>
    <row r="86" spans="1:16" ht="18.75" x14ac:dyDescent="0.25">
      <c r="A86" s="30"/>
      <c r="B86" s="111" t="s">
        <v>11</v>
      </c>
      <c r="C86" s="107" t="s">
        <v>61</v>
      </c>
      <c r="D86" s="107" t="s">
        <v>2</v>
      </c>
      <c r="E86" s="108"/>
      <c r="F86" s="107"/>
      <c r="G86" s="109"/>
      <c r="H86" s="107" t="s">
        <v>2</v>
      </c>
      <c r="I86" s="1" t="s">
        <v>147</v>
      </c>
      <c r="J86" s="1" t="s">
        <v>147</v>
      </c>
      <c r="K86" s="1" t="s">
        <v>158</v>
      </c>
    </row>
    <row r="87" spans="1:16" ht="15.75" x14ac:dyDescent="0.2">
      <c r="A87" s="93" t="str">
        <f t="shared" si="14"/>
        <v xml:space="preserve"> </v>
      </c>
      <c r="B87" s="62" t="s">
        <v>530</v>
      </c>
      <c r="C87" s="115">
        <v>2.91</v>
      </c>
      <c r="D87" s="96">
        <v>1154</v>
      </c>
      <c r="E87" s="96"/>
      <c r="F87" s="80">
        <v>5</v>
      </c>
      <c r="G87" s="80">
        <v>0</v>
      </c>
      <c r="H87" s="96">
        <f t="shared" si="15"/>
        <v>1149</v>
      </c>
      <c r="I87" s="1" t="s">
        <v>355</v>
      </c>
      <c r="J87" s="1" t="s">
        <v>147</v>
      </c>
      <c r="K87" s="1" t="s">
        <v>147</v>
      </c>
    </row>
    <row r="88" spans="1:16" ht="15.75" x14ac:dyDescent="0.2">
      <c r="A88" s="93" t="str">
        <f t="shared" si="14"/>
        <v xml:space="preserve"> </v>
      </c>
      <c r="B88" s="62" t="s">
        <v>534</v>
      </c>
      <c r="C88" s="115">
        <v>3.66</v>
      </c>
      <c r="D88" s="96">
        <v>438</v>
      </c>
      <c r="E88" s="96"/>
      <c r="F88" s="80">
        <v>0</v>
      </c>
      <c r="G88" s="80">
        <v>0</v>
      </c>
      <c r="H88" s="96">
        <f t="shared" si="15"/>
        <v>438</v>
      </c>
      <c r="I88" s="1" t="s">
        <v>393</v>
      </c>
      <c r="J88" s="1" t="s">
        <v>147</v>
      </c>
      <c r="K88" s="1" t="s">
        <v>147</v>
      </c>
    </row>
    <row r="89" spans="1:16" ht="15.75" x14ac:dyDescent="0.2">
      <c r="A89" s="93" t="str">
        <f t="shared" si="14"/>
        <v>LOW</v>
      </c>
      <c r="B89" s="62" t="s">
        <v>535</v>
      </c>
      <c r="C89" s="115">
        <v>1.83</v>
      </c>
      <c r="D89" s="96">
        <v>0</v>
      </c>
      <c r="E89" s="96"/>
      <c r="F89" s="80"/>
      <c r="G89" s="80"/>
      <c r="H89" s="96">
        <f t="shared" si="15"/>
        <v>0</v>
      </c>
      <c r="I89" s="1" t="s">
        <v>394</v>
      </c>
      <c r="J89" s="1" t="s">
        <v>147</v>
      </c>
      <c r="K89" s="1" t="s">
        <v>147</v>
      </c>
    </row>
    <row r="90" spans="1:16" ht="15.75" x14ac:dyDescent="0.2">
      <c r="A90" s="93" t="str">
        <f t="shared" si="14"/>
        <v>LOW</v>
      </c>
      <c r="B90" s="61" t="s">
        <v>536</v>
      </c>
      <c r="C90" s="58"/>
      <c r="D90" s="96">
        <v>0</v>
      </c>
      <c r="E90" s="96"/>
      <c r="F90" s="80"/>
      <c r="G90" s="80"/>
      <c r="H90" s="96">
        <f t="shared" si="15"/>
        <v>0</v>
      </c>
      <c r="I90" s="1" t="s">
        <v>532</v>
      </c>
      <c r="J90" s="1" t="s">
        <v>147</v>
      </c>
      <c r="K90" s="1" t="s">
        <v>147</v>
      </c>
    </row>
    <row r="91" spans="1:16" ht="15.75" x14ac:dyDescent="0.2">
      <c r="A91" s="93" t="str">
        <f t="shared" si="14"/>
        <v>LOW</v>
      </c>
      <c r="B91" s="61" t="s">
        <v>537</v>
      </c>
      <c r="C91" s="58"/>
      <c r="D91" s="96">
        <v>0</v>
      </c>
      <c r="E91" s="96"/>
      <c r="F91" s="80"/>
      <c r="G91" s="80"/>
      <c r="H91" s="96">
        <f t="shared" si="15"/>
        <v>0</v>
      </c>
      <c r="I91" s="1" t="s">
        <v>533</v>
      </c>
      <c r="J91" s="1" t="s">
        <v>147</v>
      </c>
      <c r="K91" s="1" t="s">
        <v>147</v>
      </c>
    </row>
    <row r="92" spans="1:16" ht="15.75" x14ac:dyDescent="0.2">
      <c r="A92" s="93" t="str">
        <f t="shared" si="14"/>
        <v>LOW</v>
      </c>
      <c r="B92" s="62"/>
      <c r="C92" s="106"/>
      <c r="D92" s="96">
        <v>0</v>
      </c>
      <c r="E92" s="96"/>
      <c r="F92" s="80"/>
      <c r="G92" s="80"/>
      <c r="H92" s="96">
        <f t="shared" si="15"/>
        <v>0</v>
      </c>
      <c r="I92" s="1" t="s">
        <v>147</v>
      </c>
      <c r="J92" s="1" t="s">
        <v>147</v>
      </c>
      <c r="K92" s="1" t="s">
        <v>147</v>
      </c>
    </row>
    <row r="93" spans="1:16" ht="18.75" x14ac:dyDescent="0.25">
      <c r="A93" s="30"/>
      <c r="B93" s="110" t="s">
        <v>18</v>
      </c>
      <c r="C93" s="107"/>
      <c r="D93" s="107" t="s">
        <v>2</v>
      </c>
      <c r="E93" s="108"/>
      <c r="F93" s="107"/>
      <c r="G93" s="109"/>
      <c r="H93" s="107" t="s">
        <v>2</v>
      </c>
      <c r="I93" s="1" t="s">
        <v>147</v>
      </c>
      <c r="J93" s="1" t="s">
        <v>147</v>
      </c>
      <c r="K93" s="1" t="s">
        <v>158</v>
      </c>
    </row>
    <row r="94" spans="1:16" ht="15.75" x14ac:dyDescent="0.2">
      <c r="A94" s="93" t="str">
        <f t="shared" si="14"/>
        <v xml:space="preserve"> </v>
      </c>
      <c r="B94" s="62" t="s">
        <v>527</v>
      </c>
      <c r="C94" s="106"/>
      <c r="D94" s="114">
        <v>251.3</v>
      </c>
      <c r="E94" s="114">
        <v>22.7</v>
      </c>
      <c r="F94" s="19">
        <f t="shared" ref="F94:F95" si="16">IFERROR(K94*N94,0)</f>
        <v>1.25</v>
      </c>
      <c r="G94" s="19">
        <f t="shared" ref="G94:G95" si="17">IFERROR(K94*O94,0)</f>
        <v>0</v>
      </c>
      <c r="H94" s="114">
        <f t="shared" si="15"/>
        <v>272.75</v>
      </c>
      <c r="I94" s="1" t="s">
        <v>356</v>
      </c>
      <c r="J94" s="1" t="s">
        <v>147</v>
      </c>
      <c r="K94" s="1">
        <v>0.25</v>
      </c>
      <c r="N94" s="1">
        <v>5</v>
      </c>
      <c r="O94" s="1">
        <v>0</v>
      </c>
    </row>
    <row r="95" spans="1:16" ht="15.75" x14ac:dyDescent="0.2">
      <c r="A95" s="93" t="str">
        <f t="shared" ref="A95:A99" si="18">IF(H95&lt;100,"LOW"," ")</f>
        <v>LOW</v>
      </c>
      <c r="B95" s="62" t="s">
        <v>538</v>
      </c>
      <c r="C95" s="106"/>
      <c r="D95" s="114">
        <v>104.36000000000001</v>
      </c>
      <c r="E95" s="114"/>
      <c r="F95" s="19">
        <f t="shared" si="16"/>
        <v>3.2399999999999998</v>
      </c>
      <c r="G95" s="19">
        <f t="shared" si="17"/>
        <v>3.5999999999999996</v>
      </c>
      <c r="H95" s="114">
        <f t="shared" ref="H95:H98" si="19">D95+E95-F95-G95</f>
        <v>97.520000000000024</v>
      </c>
      <c r="I95" s="1" t="s">
        <v>399</v>
      </c>
      <c r="J95" s="1" t="s">
        <v>147</v>
      </c>
      <c r="K95" s="116">
        <v>0.18</v>
      </c>
      <c r="N95" s="1">
        <v>18</v>
      </c>
      <c r="O95" s="1">
        <v>20</v>
      </c>
    </row>
    <row r="96" spans="1:16" ht="15.75" x14ac:dyDescent="0.2">
      <c r="A96" s="93" t="str">
        <f t="shared" si="18"/>
        <v xml:space="preserve"> </v>
      </c>
      <c r="B96" s="62" t="s">
        <v>539</v>
      </c>
      <c r="C96" s="106"/>
      <c r="D96" s="114">
        <v>185</v>
      </c>
      <c r="E96" s="114"/>
      <c r="F96" s="19">
        <f>IFERROR(K96*N96,0)</f>
        <v>0</v>
      </c>
      <c r="G96" s="19">
        <f t="shared" ref="G96:G98" si="20">IFERROR(K96*O96,0)</f>
        <v>0</v>
      </c>
      <c r="H96" s="114">
        <f t="shared" si="19"/>
        <v>185</v>
      </c>
      <c r="I96" s="1" t="s">
        <v>369</v>
      </c>
      <c r="J96" s="1" t="s">
        <v>147</v>
      </c>
      <c r="K96" s="116">
        <v>0.36</v>
      </c>
      <c r="N96" s="1">
        <v>0</v>
      </c>
      <c r="O96" s="1">
        <v>0</v>
      </c>
      <c r="P96" s="1" t="s">
        <v>78</v>
      </c>
    </row>
    <row r="97" spans="1:13" ht="15.75" x14ac:dyDescent="0.2">
      <c r="A97" s="93" t="str">
        <f t="shared" si="18"/>
        <v>LOW</v>
      </c>
      <c r="B97" s="61" t="s">
        <v>528</v>
      </c>
      <c r="C97" s="58"/>
      <c r="D97" s="114">
        <v>0</v>
      </c>
      <c r="E97" s="114"/>
      <c r="F97" s="19">
        <f t="shared" ref="F97:F98" si="21">IFERROR(K97*N97,0)</f>
        <v>0</v>
      </c>
      <c r="G97" s="19">
        <f t="shared" si="20"/>
        <v>0</v>
      </c>
      <c r="H97" s="114">
        <f t="shared" si="19"/>
        <v>0</v>
      </c>
      <c r="I97" s="1" t="s">
        <v>395</v>
      </c>
      <c r="J97" s="1" t="s">
        <v>147</v>
      </c>
      <c r="K97" s="116" t="s">
        <v>147</v>
      </c>
      <c r="M97" s="1" t="s">
        <v>78</v>
      </c>
    </row>
    <row r="98" spans="1:13" ht="15.75" x14ac:dyDescent="0.2">
      <c r="A98" s="93" t="str">
        <f t="shared" si="18"/>
        <v>LOW</v>
      </c>
      <c r="B98" s="61" t="s">
        <v>529</v>
      </c>
      <c r="C98" s="58"/>
      <c r="D98" s="114">
        <v>0</v>
      </c>
      <c r="E98" s="114">
        <v>22.7</v>
      </c>
      <c r="F98" s="19">
        <f t="shared" si="21"/>
        <v>0</v>
      </c>
      <c r="G98" s="19">
        <f t="shared" si="20"/>
        <v>0</v>
      </c>
      <c r="H98" s="114">
        <f t="shared" si="19"/>
        <v>22.7</v>
      </c>
      <c r="I98" s="1" t="s">
        <v>531</v>
      </c>
      <c r="J98" s="1" t="s">
        <v>147</v>
      </c>
      <c r="K98" s="1" t="s">
        <v>147</v>
      </c>
    </row>
    <row r="99" spans="1:13" ht="15.75" x14ac:dyDescent="0.2">
      <c r="A99" s="93" t="str">
        <f t="shared" si="18"/>
        <v xml:space="preserve"> </v>
      </c>
      <c r="B99" s="66" t="s">
        <v>299</v>
      </c>
      <c r="C99" s="67" t="s">
        <v>5</v>
      </c>
      <c r="D99" s="96">
        <v>320</v>
      </c>
      <c r="E99" s="96"/>
      <c r="F99" s="19"/>
      <c r="G99" s="19"/>
      <c r="H99" s="96">
        <f t="shared" si="15"/>
        <v>320</v>
      </c>
      <c r="I99" s="1" t="s">
        <v>147</v>
      </c>
      <c r="J99" s="1" t="s">
        <v>147</v>
      </c>
      <c r="K99" s="1" t="s">
        <v>147</v>
      </c>
    </row>
    <row r="100" spans="1:13" ht="15.75" x14ac:dyDescent="0.2">
      <c r="A100" s="93" t="str">
        <f t="shared" si="14"/>
        <v xml:space="preserve"> </v>
      </c>
      <c r="B100" s="66" t="s">
        <v>277</v>
      </c>
      <c r="C100" s="67" t="s">
        <v>6</v>
      </c>
      <c r="D100" s="96">
        <v>600</v>
      </c>
      <c r="E100" s="96"/>
      <c r="F100" s="112"/>
      <c r="G100" s="112"/>
      <c r="H100" s="96">
        <f t="shared" si="15"/>
        <v>600</v>
      </c>
      <c r="I100" s="1" t="s">
        <v>147</v>
      </c>
      <c r="J100" s="1" t="s">
        <v>147</v>
      </c>
      <c r="K100" s="1" t="s">
        <v>147</v>
      </c>
      <c r="M100" s="1" t="s">
        <v>78</v>
      </c>
    </row>
    <row r="101" spans="1:13" ht="15.75" x14ac:dyDescent="0.2">
      <c r="A101" s="93" t="str">
        <f t="shared" ref="A101:A102" si="22">IF(H101&lt;100,"LOW"," ")</f>
        <v>LOW</v>
      </c>
      <c r="B101" s="66" t="s">
        <v>172</v>
      </c>
      <c r="C101" s="67"/>
      <c r="D101" s="96">
        <v>0</v>
      </c>
      <c r="E101" s="96"/>
      <c r="F101" s="113"/>
      <c r="G101" s="113"/>
      <c r="H101" s="96">
        <f t="shared" ref="H101:H102" si="23">D101+E101-F101-G101</f>
        <v>0</v>
      </c>
      <c r="I101" s="1" t="s">
        <v>147</v>
      </c>
      <c r="J101" s="1" t="s">
        <v>147</v>
      </c>
      <c r="K101" s="1" t="s">
        <v>147</v>
      </c>
    </row>
    <row r="102" spans="1:13" ht="15.75" x14ac:dyDescent="0.2">
      <c r="A102" s="93" t="str">
        <f t="shared" si="22"/>
        <v>LOW</v>
      </c>
      <c r="B102" s="66" t="s">
        <v>172</v>
      </c>
      <c r="C102" s="67"/>
      <c r="D102" s="96">
        <v>0</v>
      </c>
      <c r="E102" s="96"/>
      <c r="F102" s="80"/>
      <c r="G102" s="80"/>
      <c r="H102" s="96">
        <f t="shared" si="23"/>
        <v>0</v>
      </c>
      <c r="I102" s="1" t="s">
        <v>147</v>
      </c>
      <c r="J102" s="1" t="s">
        <v>147</v>
      </c>
      <c r="K102" s="1" t="s">
        <v>147</v>
      </c>
    </row>
    <row r="103" spans="1:13" x14ac:dyDescent="0.2">
      <c r="B103" s="1" t="s">
        <v>78</v>
      </c>
      <c r="F103" s="7" t="s">
        <v>78</v>
      </c>
    </row>
    <row r="104" spans="1:13" x14ac:dyDescent="0.2">
      <c r="C104" s="1" t="s">
        <v>78</v>
      </c>
      <c r="F104" s="7" t="s">
        <v>78</v>
      </c>
      <c r="G104" s="7" t="s">
        <v>78</v>
      </c>
    </row>
    <row r="105" spans="1:13" x14ac:dyDescent="0.2">
      <c r="G105" s="7" t="s">
        <v>78</v>
      </c>
    </row>
    <row r="106" spans="1:13" x14ac:dyDescent="0.2">
      <c r="B106" s="1" t="s">
        <v>78</v>
      </c>
      <c r="E106" s="7" t="s">
        <v>78</v>
      </c>
      <c r="F106" s="7" t="s">
        <v>78</v>
      </c>
      <c r="G106" s="7" t="s">
        <v>78</v>
      </c>
    </row>
    <row r="107" spans="1:13" x14ac:dyDescent="0.2">
      <c r="B107" s="1" t="s">
        <v>78</v>
      </c>
      <c r="E107" s="7" t="s">
        <v>78</v>
      </c>
    </row>
    <row r="108" spans="1:13" x14ac:dyDescent="0.2">
      <c r="B108" s="1" t="s">
        <v>78</v>
      </c>
      <c r="C108" s="1" t="s">
        <v>78</v>
      </c>
      <c r="E108" s="7" t="s">
        <v>78</v>
      </c>
      <c r="F108" s="7" t="s">
        <v>78</v>
      </c>
    </row>
    <row r="110" spans="1:13" x14ac:dyDescent="0.2">
      <c r="B110" s="1" t="s">
        <v>78</v>
      </c>
    </row>
    <row r="111" spans="1:13" x14ac:dyDescent="0.2">
      <c r="E111" s="7" t="s">
        <v>78</v>
      </c>
    </row>
    <row r="119" spans="2:2" ht="15" x14ac:dyDescent="0.2">
      <c r="B119" s="105" t="s">
        <v>435</v>
      </c>
    </row>
    <row r="120" spans="2:2" ht="15" x14ac:dyDescent="0.2">
      <c r="B120" s="105" t="s">
        <v>398</v>
      </c>
    </row>
  </sheetData>
  <mergeCells count="2">
    <mergeCell ref="A1:H1"/>
    <mergeCell ref="B36:C36"/>
  </mergeCells>
  <pageMargins left="0" right="0" top="0" bottom="0" header="0" footer="0"/>
  <pageSetup paperSize="5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learStock">
                <anchor moveWithCells="1" sizeWithCells="1">
                  <from>
                    <xdr:col>12</xdr:col>
                    <xdr:colOff>0</xdr:colOff>
                    <xdr:row>26</xdr:row>
                    <xdr:rowOff>47625</xdr:rowOff>
                  </from>
                  <to>
                    <xdr:col>14</xdr:col>
                    <xdr:colOff>371475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_BPD">
                <anchor moveWithCells="1" sizeWithCells="1">
                  <from>
                    <xdr:col>12</xdr:col>
                    <xdr:colOff>0</xdr:colOff>
                    <xdr:row>19</xdr:row>
                    <xdr:rowOff>9525</xdr:rowOff>
                  </from>
                  <to>
                    <xdr:col>14</xdr:col>
                    <xdr:colOff>466725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updateBoxes">
                <anchor moveWithCells="1" sizeWithCells="1">
                  <from>
                    <xdr:col>11</xdr:col>
                    <xdr:colOff>552450</xdr:colOff>
                    <xdr:row>11</xdr:row>
                    <xdr:rowOff>9525</xdr:rowOff>
                  </from>
                  <to>
                    <xdr:col>14</xdr:col>
                    <xdr:colOff>419100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updatePOLY">
                <anchor moveWithCells="1" sizeWithCells="1">
                  <from>
                    <xdr:col>11</xdr:col>
                    <xdr:colOff>466725</xdr:colOff>
                    <xdr:row>5</xdr:row>
                    <xdr:rowOff>152400</xdr:rowOff>
                  </from>
                  <to>
                    <xdr:col>14</xdr:col>
                    <xdr:colOff>219075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Button10_Click">
                <anchor moveWithCells="1" sizeWithCells="1">
                  <from>
                    <xdr:col>12</xdr:col>
                    <xdr:colOff>0</xdr:colOff>
                    <xdr:row>14</xdr:row>
                    <xdr:rowOff>161925</xdr:rowOff>
                  </from>
                  <to>
                    <xdr:col>14</xdr:col>
                    <xdr:colOff>57150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S96"/>
  <sheetViews>
    <sheetView topLeftCell="A71" zoomScaleNormal="100" workbookViewId="0">
      <selection sqref="A1:H90"/>
    </sheetView>
  </sheetViews>
  <sheetFormatPr defaultColWidth="9.14453125" defaultRowHeight="18.75" x14ac:dyDescent="0.2"/>
  <cols>
    <col min="1" max="1" width="20.17578125" style="8" bestFit="1" customWidth="1"/>
    <col min="2" max="2" width="47.62109375" style="9" customWidth="1"/>
    <col min="3" max="3" width="10.22265625" style="9" customWidth="1"/>
    <col min="4" max="5" width="11.02734375" style="9" bestFit="1" customWidth="1"/>
    <col min="6" max="6" width="10.22265625" style="13" customWidth="1"/>
    <col min="7" max="7" width="9.68359375" style="9" customWidth="1"/>
    <col min="8" max="8" width="7.3984375" customWidth="1"/>
    <col min="9" max="12" width="9.14453125" style="9"/>
    <col min="13" max="13" width="9.14453125" style="46"/>
    <col min="14" max="14" width="3.8984375" style="9" customWidth="1"/>
    <col min="15" max="15" width="11.02734375" style="43" customWidth="1"/>
    <col min="16" max="16" width="4.03515625" style="9" bestFit="1" customWidth="1"/>
    <col min="17" max="17" width="5.109375" style="9" customWidth="1"/>
    <col min="18" max="18" width="9.55078125" style="9" bestFit="1" customWidth="1"/>
    <col min="19" max="16384" width="9.14453125" style="9"/>
  </cols>
  <sheetData>
    <row r="1" spans="1:19" customFormat="1" x14ac:dyDescent="0.2">
      <c r="A1" s="121">
        <f ca="1">TODAY()</f>
        <v>46231</v>
      </c>
      <c r="B1" s="122"/>
      <c r="C1" s="122"/>
      <c r="D1" s="122"/>
      <c r="E1" s="122"/>
      <c r="F1" s="122"/>
      <c r="G1" s="122"/>
      <c r="H1" s="50"/>
      <c r="J1" t="s">
        <v>78</v>
      </c>
      <c r="M1" s="46"/>
      <c r="O1" s="43"/>
    </row>
    <row r="2" spans="1:19" customFormat="1" ht="12" customHeight="1" thickBot="1" x14ac:dyDescent="0.25">
      <c r="A2" s="31"/>
      <c r="B2" s="16" t="s">
        <v>78</v>
      </c>
      <c r="C2" s="16"/>
      <c r="D2" s="33">
        <f ca="1">TODAY()</f>
        <v>46231</v>
      </c>
      <c r="E2" s="33">
        <f ca="1">TODAY()-1</f>
        <v>46230</v>
      </c>
      <c r="F2" s="29"/>
      <c r="G2" s="21"/>
      <c r="H2" s="50"/>
      <c r="I2" t="s">
        <v>78</v>
      </c>
      <c r="M2" s="46"/>
      <c r="O2" s="43"/>
    </row>
    <row r="3" spans="1:19" ht="12" customHeight="1" thickBot="1" x14ac:dyDescent="0.25">
      <c r="A3" s="10"/>
      <c r="B3" s="10" t="s">
        <v>0</v>
      </c>
      <c r="C3" s="12" t="s">
        <v>171</v>
      </c>
      <c r="D3" s="12" t="s">
        <v>5</v>
      </c>
      <c r="E3" s="53" t="s">
        <v>6</v>
      </c>
      <c r="F3" s="54" t="s">
        <v>1</v>
      </c>
      <c r="G3" s="12" t="s">
        <v>2</v>
      </c>
      <c r="H3" s="56"/>
      <c r="M3" s="47" t="s">
        <v>146</v>
      </c>
      <c r="O3" s="44" t="s">
        <v>80</v>
      </c>
      <c r="R3" s="48" t="s">
        <v>149</v>
      </c>
    </row>
    <row r="4" spans="1:19" ht="12" customHeight="1" x14ac:dyDescent="0.2">
      <c r="A4" s="32" t="s">
        <v>200</v>
      </c>
      <c r="B4" s="81" t="s">
        <v>288</v>
      </c>
      <c r="C4" s="78">
        <v>58</v>
      </c>
      <c r="D4" s="11"/>
      <c r="E4" s="11"/>
      <c r="F4" s="78"/>
      <c r="G4" s="78">
        <f>C4+D4+E4-F4</f>
        <v>58</v>
      </c>
      <c r="H4" s="16" t="str">
        <f>IF(G4&lt;100,"LOW"," ")</f>
        <v>LOW</v>
      </c>
      <c r="J4" s="9" t="s">
        <v>164</v>
      </c>
      <c r="M4" s="46" t="s">
        <v>136</v>
      </c>
      <c r="O4" s="45" t="s">
        <v>81</v>
      </c>
      <c r="R4" s="9" t="s">
        <v>151</v>
      </c>
    </row>
    <row r="5" spans="1:19" ht="12" customHeight="1" x14ac:dyDescent="0.2">
      <c r="A5" s="11" t="s">
        <v>201</v>
      </c>
      <c r="B5" s="82" t="s">
        <v>195</v>
      </c>
      <c r="C5" s="78">
        <v>27</v>
      </c>
      <c r="D5" s="78"/>
      <c r="E5" s="78"/>
      <c r="F5" s="78">
        <v>17</v>
      </c>
      <c r="G5" s="78">
        <f t="shared" ref="G5:G8" si="0">C5+D5+E5-F5</f>
        <v>10</v>
      </c>
      <c r="H5" s="16" t="str">
        <f t="shared" ref="H5:H62" si="1">IF(G5&lt;100,"LOW"," ")</f>
        <v>LOW</v>
      </c>
      <c r="M5" s="46" t="s">
        <v>134</v>
      </c>
      <c r="O5" s="30" t="s">
        <v>82</v>
      </c>
      <c r="R5" s="9" t="s">
        <v>150</v>
      </c>
    </row>
    <row r="6" spans="1:19" ht="12" customHeight="1" x14ac:dyDescent="0.2">
      <c r="A6" s="11" t="s">
        <v>202</v>
      </c>
      <c r="B6" s="81" t="s">
        <v>259</v>
      </c>
      <c r="C6" s="78">
        <v>126</v>
      </c>
      <c r="D6" s="78"/>
      <c r="E6" s="78"/>
      <c r="F6" s="78">
        <v>21</v>
      </c>
      <c r="G6" s="78">
        <f t="shared" si="0"/>
        <v>105</v>
      </c>
      <c r="H6" s="16" t="str">
        <f t="shared" si="1"/>
        <v xml:space="preserve"> </v>
      </c>
      <c r="M6" s="46" t="s">
        <v>134</v>
      </c>
      <c r="O6" s="30" t="s">
        <v>83</v>
      </c>
      <c r="R6" s="9" t="s">
        <v>150</v>
      </c>
    </row>
    <row r="7" spans="1:19" ht="12" customHeight="1" x14ac:dyDescent="0.2">
      <c r="A7" s="11" t="s">
        <v>203</v>
      </c>
      <c r="B7" s="81" t="s">
        <v>246</v>
      </c>
      <c r="C7" s="78">
        <v>145</v>
      </c>
      <c r="D7" s="78"/>
      <c r="E7" s="78"/>
      <c r="F7" s="78">
        <v>12</v>
      </c>
      <c r="G7" s="78">
        <f t="shared" si="0"/>
        <v>133</v>
      </c>
      <c r="H7" s="16" t="str">
        <f t="shared" si="1"/>
        <v xml:space="preserve"> </v>
      </c>
      <c r="M7" s="46" t="s">
        <v>134</v>
      </c>
      <c r="O7" s="30" t="s">
        <v>84</v>
      </c>
      <c r="R7" s="9" t="s">
        <v>150</v>
      </c>
    </row>
    <row r="8" spans="1:19" ht="12" customHeight="1" x14ac:dyDescent="0.2">
      <c r="A8" s="11" t="s">
        <v>268</v>
      </c>
      <c r="B8" s="81" t="s">
        <v>269</v>
      </c>
      <c r="C8" s="78">
        <v>75</v>
      </c>
      <c r="D8" s="78"/>
      <c r="E8" s="78"/>
      <c r="F8" s="78">
        <v>12</v>
      </c>
      <c r="G8" s="78">
        <f t="shared" si="0"/>
        <v>63</v>
      </c>
      <c r="H8" s="16" t="str">
        <f t="shared" si="1"/>
        <v>LOW</v>
      </c>
      <c r="M8" s="46" t="s">
        <v>134</v>
      </c>
      <c r="O8" s="30" t="s">
        <v>85</v>
      </c>
      <c r="R8" s="9" t="s">
        <v>150</v>
      </c>
    </row>
    <row r="9" spans="1:19" ht="12" customHeight="1" x14ac:dyDescent="0.2">
      <c r="A9" s="11" t="s">
        <v>437</v>
      </c>
      <c r="B9" s="81" t="s">
        <v>436</v>
      </c>
      <c r="C9" s="78">
        <v>34</v>
      </c>
      <c r="D9" s="78"/>
      <c r="E9" s="78"/>
      <c r="F9" s="78"/>
      <c r="G9" s="78">
        <f t="shared" ref="G9" si="2">C9+D9+E9-F9</f>
        <v>34</v>
      </c>
      <c r="H9" s="16" t="str">
        <f t="shared" ref="H9" si="3">IF(G9&lt;100,"LOW"," ")</f>
        <v>LOW</v>
      </c>
      <c r="M9" s="46" t="s">
        <v>135</v>
      </c>
      <c r="O9" s="30" t="s">
        <v>193</v>
      </c>
      <c r="R9" s="9" t="s">
        <v>150</v>
      </c>
    </row>
    <row r="10" spans="1:19" ht="12" customHeight="1" x14ac:dyDescent="0.2">
      <c r="A10" s="11" t="s">
        <v>266</v>
      </c>
      <c r="B10" s="81" t="s">
        <v>267</v>
      </c>
      <c r="C10" s="78">
        <v>57</v>
      </c>
      <c r="D10" s="78"/>
      <c r="E10" s="78"/>
      <c r="F10" s="78">
        <v>12</v>
      </c>
      <c r="G10" s="78">
        <f t="shared" ref="G10:G17" si="4">C10+D10+E10-F10</f>
        <v>45</v>
      </c>
      <c r="H10" s="16" t="str">
        <f t="shared" ref="H10:H17" si="5">IF(G10&lt;100,"LOW"," ")</f>
        <v>LOW</v>
      </c>
      <c r="K10" s="9" t="s">
        <v>78</v>
      </c>
      <c r="M10" s="46" t="s">
        <v>135</v>
      </c>
      <c r="O10" s="30" t="s">
        <v>86</v>
      </c>
      <c r="R10" s="9" t="s">
        <v>150</v>
      </c>
    </row>
    <row r="11" spans="1:19" ht="12" customHeight="1" x14ac:dyDescent="0.2">
      <c r="A11" s="11" t="s">
        <v>264</v>
      </c>
      <c r="B11" s="81" t="s">
        <v>265</v>
      </c>
      <c r="C11" s="78">
        <v>14</v>
      </c>
      <c r="D11" s="78"/>
      <c r="E11" s="78"/>
      <c r="F11" s="78"/>
      <c r="G11" s="78">
        <f t="shared" si="4"/>
        <v>14</v>
      </c>
      <c r="H11" s="16" t="str">
        <f t="shared" si="5"/>
        <v>LOW</v>
      </c>
      <c r="J11" s="9" t="s">
        <v>165</v>
      </c>
      <c r="K11" s="9" t="s">
        <v>78</v>
      </c>
      <c r="M11" s="46" t="s">
        <v>135</v>
      </c>
      <c r="O11" s="30" t="s">
        <v>87</v>
      </c>
      <c r="R11" s="9" t="s">
        <v>150</v>
      </c>
    </row>
    <row r="12" spans="1:19" ht="12" customHeight="1" x14ac:dyDescent="0.2">
      <c r="A12" s="11" t="s">
        <v>66</v>
      </c>
      <c r="B12" s="81" t="s">
        <v>238</v>
      </c>
      <c r="C12" s="78">
        <v>0</v>
      </c>
      <c r="D12" s="78"/>
      <c r="E12" s="78"/>
      <c r="F12" s="78"/>
      <c r="G12" s="78">
        <f t="shared" si="4"/>
        <v>0</v>
      </c>
      <c r="H12" s="16" t="str">
        <f t="shared" si="5"/>
        <v>LOW</v>
      </c>
      <c r="M12" s="46" t="s">
        <v>135</v>
      </c>
      <c r="O12" s="30" t="s">
        <v>88</v>
      </c>
      <c r="R12" s="9" t="s">
        <v>150</v>
      </c>
    </row>
    <row r="13" spans="1:19" ht="12" customHeight="1" x14ac:dyDescent="0.2">
      <c r="A13" s="11" t="s">
        <v>297</v>
      </c>
      <c r="B13" s="81" t="s">
        <v>298</v>
      </c>
      <c r="C13" s="78">
        <v>54</v>
      </c>
      <c r="D13" s="78">
        <v>17</v>
      </c>
      <c r="E13" s="78"/>
      <c r="F13" s="78">
        <v>4</v>
      </c>
      <c r="G13" s="78">
        <f t="shared" si="4"/>
        <v>67</v>
      </c>
      <c r="H13" s="16" t="str">
        <f t="shared" si="5"/>
        <v>LOW</v>
      </c>
      <c r="M13" s="46" t="s">
        <v>135</v>
      </c>
      <c r="O13" s="30" t="s">
        <v>89</v>
      </c>
      <c r="R13" s="9" t="s">
        <v>150</v>
      </c>
    </row>
    <row r="14" spans="1:19" ht="12" customHeight="1" x14ac:dyDescent="0.2">
      <c r="A14" s="11" t="s">
        <v>293</v>
      </c>
      <c r="B14" s="81" t="s">
        <v>329</v>
      </c>
      <c r="C14" s="78">
        <v>161</v>
      </c>
      <c r="D14" s="78"/>
      <c r="E14" s="78"/>
      <c r="F14" s="78">
        <v>5</v>
      </c>
      <c r="G14" s="78">
        <f t="shared" si="4"/>
        <v>156</v>
      </c>
      <c r="H14" s="16" t="str">
        <f t="shared" si="5"/>
        <v xml:space="preserve"> </v>
      </c>
      <c r="M14" s="46" t="s">
        <v>325</v>
      </c>
      <c r="O14" s="30" t="s">
        <v>90</v>
      </c>
      <c r="R14" s="9" t="s">
        <v>151</v>
      </c>
      <c r="S14" s="55"/>
    </row>
    <row r="15" spans="1:19" ht="12" customHeight="1" x14ac:dyDescent="0.2">
      <c r="A15" s="11" t="s">
        <v>389</v>
      </c>
      <c r="B15" s="81" t="s">
        <v>390</v>
      </c>
      <c r="C15" s="78">
        <v>0</v>
      </c>
      <c r="D15" s="11"/>
      <c r="E15" s="11"/>
      <c r="F15" s="78"/>
      <c r="G15" s="78">
        <f t="shared" si="4"/>
        <v>0</v>
      </c>
      <c r="H15" s="16" t="str">
        <f t="shared" si="5"/>
        <v>LOW</v>
      </c>
      <c r="I15" s="1"/>
      <c r="J15" s="1"/>
      <c r="K15" s="1"/>
      <c r="L15" s="1"/>
      <c r="M15" s="46" t="s">
        <v>142</v>
      </c>
      <c r="N15" s="1"/>
      <c r="O15" s="1" t="s">
        <v>91</v>
      </c>
      <c r="P15" s="1"/>
      <c r="R15" s="9" t="s">
        <v>151</v>
      </c>
    </row>
    <row r="16" spans="1:19" ht="12" customHeight="1" x14ac:dyDescent="0.2">
      <c r="A16" s="11" t="s">
        <v>205</v>
      </c>
      <c r="B16" s="81" t="s">
        <v>387</v>
      </c>
      <c r="C16" s="78">
        <v>66</v>
      </c>
      <c r="D16" s="78"/>
      <c r="E16" s="78"/>
      <c r="F16" s="78">
        <v>20</v>
      </c>
      <c r="G16" s="78">
        <f t="shared" si="4"/>
        <v>46</v>
      </c>
      <c r="H16" s="16" t="str">
        <f t="shared" si="5"/>
        <v>LOW</v>
      </c>
      <c r="M16" s="46" t="s">
        <v>134</v>
      </c>
      <c r="O16" s="30" t="s">
        <v>92</v>
      </c>
      <c r="R16" s="9" t="s">
        <v>150</v>
      </c>
    </row>
    <row r="17" spans="1:18" ht="12" customHeight="1" x14ac:dyDescent="0.2">
      <c r="A17" s="11" t="s">
        <v>206</v>
      </c>
      <c r="B17" s="81" t="s">
        <v>388</v>
      </c>
      <c r="C17" s="78">
        <v>78</v>
      </c>
      <c r="D17" s="78"/>
      <c r="E17" s="78"/>
      <c r="F17" s="78"/>
      <c r="G17" s="78">
        <f t="shared" si="4"/>
        <v>78</v>
      </c>
      <c r="H17" s="57" t="str">
        <f t="shared" si="5"/>
        <v>LOW</v>
      </c>
      <c r="M17" s="46" t="s">
        <v>134</v>
      </c>
      <c r="O17" s="30" t="s">
        <v>197</v>
      </c>
      <c r="R17" s="9" t="s">
        <v>150</v>
      </c>
    </row>
    <row r="18" spans="1:18" ht="12" customHeight="1" x14ac:dyDescent="0.2">
      <c r="A18" s="10"/>
      <c r="B18" s="10"/>
      <c r="C18" s="10" t="s">
        <v>2</v>
      </c>
      <c r="D18" s="10"/>
      <c r="E18" s="83"/>
      <c r="F18" s="84"/>
      <c r="G18" s="10" t="s">
        <v>2</v>
      </c>
      <c r="H18" s="56"/>
      <c r="M18" s="46" t="s">
        <v>93</v>
      </c>
      <c r="O18" s="30" t="s">
        <v>93</v>
      </c>
      <c r="R18" s="9" t="s">
        <v>93</v>
      </c>
    </row>
    <row r="19" spans="1:18" ht="12" customHeight="1" x14ac:dyDescent="0.2">
      <c r="A19" s="93" t="s">
        <v>278</v>
      </c>
      <c r="B19" s="71" t="s">
        <v>415</v>
      </c>
      <c r="C19" s="78">
        <v>65</v>
      </c>
      <c r="D19" s="78"/>
      <c r="E19" s="78"/>
      <c r="F19" s="78"/>
      <c r="G19" s="78">
        <f>C19+D19+E19-F19</f>
        <v>65</v>
      </c>
      <c r="H19" s="16" t="str">
        <f t="shared" si="1"/>
        <v>LOW</v>
      </c>
      <c r="M19" s="46" t="s">
        <v>274</v>
      </c>
      <c r="O19" s="30" t="s">
        <v>94</v>
      </c>
      <c r="R19" s="9" t="s">
        <v>156</v>
      </c>
    </row>
    <row r="20" spans="1:18" ht="12" customHeight="1" x14ac:dyDescent="0.2">
      <c r="A20" s="23" t="s">
        <v>172</v>
      </c>
      <c r="B20" s="118" t="s">
        <v>172</v>
      </c>
      <c r="C20" s="78">
        <v>0</v>
      </c>
      <c r="D20" s="78"/>
      <c r="E20" s="78"/>
      <c r="F20" s="78"/>
      <c r="G20" s="78">
        <f t="shared" ref="G20:G22" si="6">C20+D20+E20-F20</f>
        <v>0</v>
      </c>
      <c r="H20" s="16" t="str">
        <f t="shared" si="1"/>
        <v>LOW</v>
      </c>
      <c r="M20" s="46" t="s">
        <v>93</v>
      </c>
      <c r="O20" s="30" t="s">
        <v>95</v>
      </c>
      <c r="R20" s="9" t="s">
        <v>93</v>
      </c>
    </row>
    <row r="21" spans="1:18" ht="12" customHeight="1" x14ac:dyDescent="0.2">
      <c r="A21" s="23" t="s">
        <v>289</v>
      </c>
      <c r="B21" s="71" t="s">
        <v>416</v>
      </c>
      <c r="C21" s="78">
        <v>90</v>
      </c>
      <c r="D21" s="78"/>
      <c r="E21" s="78"/>
      <c r="F21" s="78"/>
      <c r="G21" s="78">
        <f t="shared" si="6"/>
        <v>90</v>
      </c>
      <c r="H21" s="16" t="str">
        <f t="shared" si="1"/>
        <v>LOW</v>
      </c>
      <c r="M21" s="46" t="s">
        <v>274</v>
      </c>
      <c r="O21" s="30" t="s">
        <v>96</v>
      </c>
      <c r="R21" s="9" t="s">
        <v>156</v>
      </c>
    </row>
    <row r="22" spans="1:18" ht="12" customHeight="1" x14ac:dyDescent="0.2">
      <c r="A22" s="23" t="s">
        <v>172</v>
      </c>
      <c r="B22" s="118" t="s">
        <v>172</v>
      </c>
      <c r="C22" s="78">
        <v>0</v>
      </c>
      <c r="D22" s="23"/>
      <c r="E22" s="11"/>
      <c r="F22" s="11"/>
      <c r="G22" s="78">
        <f t="shared" si="6"/>
        <v>0</v>
      </c>
      <c r="H22" s="50"/>
      <c r="J22" s="9" t="s">
        <v>166</v>
      </c>
      <c r="M22" s="46" t="s">
        <v>93</v>
      </c>
      <c r="O22" s="30" t="s">
        <v>100</v>
      </c>
      <c r="R22" s="9" t="s">
        <v>93</v>
      </c>
    </row>
    <row r="23" spans="1:18" ht="12" customHeight="1" x14ac:dyDescent="0.2">
      <c r="A23" s="10"/>
      <c r="B23" s="10" t="s">
        <v>3</v>
      </c>
      <c r="C23" s="10" t="s">
        <v>2</v>
      </c>
      <c r="D23" s="10"/>
      <c r="E23" s="83"/>
      <c r="F23" s="84"/>
      <c r="G23" s="10" t="s">
        <v>2</v>
      </c>
      <c r="H23" s="56"/>
      <c r="M23" s="46" t="s">
        <v>93</v>
      </c>
      <c r="O23" s="30" t="s">
        <v>93</v>
      </c>
      <c r="R23" s="9" t="s">
        <v>93</v>
      </c>
    </row>
    <row r="24" spans="1:18" ht="12" customHeight="1" x14ac:dyDescent="0.2">
      <c r="A24" s="11" t="s">
        <v>208</v>
      </c>
      <c r="B24" s="81" t="s">
        <v>301</v>
      </c>
      <c r="C24" s="78">
        <v>47</v>
      </c>
      <c r="D24" s="79"/>
      <c r="E24" s="79"/>
      <c r="F24" s="79"/>
      <c r="G24" s="78">
        <f t="shared" ref="G24:G25" si="7">C24+D24+E24-F24</f>
        <v>47</v>
      </c>
      <c r="H24" s="16" t="str">
        <f t="shared" si="1"/>
        <v>LOW</v>
      </c>
      <c r="M24" s="46" t="s">
        <v>307</v>
      </c>
      <c r="O24" s="23" t="s">
        <v>98</v>
      </c>
      <c r="R24" s="9" t="s">
        <v>152</v>
      </c>
    </row>
    <row r="25" spans="1:18" ht="12" customHeight="1" x14ac:dyDescent="0.2">
      <c r="A25" s="11" t="s">
        <v>209</v>
      </c>
      <c r="B25" s="81" t="s">
        <v>302</v>
      </c>
      <c r="C25" s="78">
        <v>87</v>
      </c>
      <c r="D25" s="79"/>
      <c r="E25" s="79"/>
      <c r="F25" s="79">
        <v>5</v>
      </c>
      <c r="G25" s="78">
        <f t="shared" si="7"/>
        <v>82</v>
      </c>
      <c r="H25" s="16" t="str">
        <f t="shared" si="1"/>
        <v>LOW</v>
      </c>
      <c r="M25" s="46" t="s">
        <v>307</v>
      </c>
      <c r="O25" s="30" t="s">
        <v>99</v>
      </c>
      <c r="R25" s="9" t="s">
        <v>152</v>
      </c>
    </row>
    <row r="26" spans="1:18" ht="14.45" customHeight="1" x14ac:dyDescent="0.2">
      <c r="A26" s="11" t="s">
        <v>210</v>
      </c>
      <c r="B26" s="81" t="s">
        <v>303</v>
      </c>
      <c r="C26" s="78">
        <v>97</v>
      </c>
      <c r="D26" s="79"/>
      <c r="E26" s="79"/>
      <c r="F26" s="79"/>
      <c r="G26" s="78">
        <f t="shared" ref="G26:G35" si="8">C26+D26+E26-F26</f>
        <v>97</v>
      </c>
      <c r="H26" s="16" t="str">
        <f t="shared" si="1"/>
        <v>LOW</v>
      </c>
      <c r="M26" s="46" t="s">
        <v>307</v>
      </c>
      <c r="O26" s="23" t="s">
        <v>100</v>
      </c>
      <c r="R26" s="9" t="s">
        <v>152</v>
      </c>
    </row>
    <row r="27" spans="1:18" ht="12" customHeight="1" x14ac:dyDescent="0.2">
      <c r="A27" s="11" t="s">
        <v>211</v>
      </c>
      <c r="B27" s="81" t="s">
        <v>316</v>
      </c>
      <c r="C27" s="78">
        <v>35</v>
      </c>
      <c r="D27" s="79"/>
      <c r="E27" s="79"/>
      <c r="F27" s="79"/>
      <c r="G27" s="78">
        <f t="shared" si="8"/>
        <v>35</v>
      </c>
      <c r="H27" s="16" t="str">
        <f t="shared" si="1"/>
        <v>LOW</v>
      </c>
      <c r="M27" s="46" t="s">
        <v>307</v>
      </c>
      <c r="O27" s="23" t="s">
        <v>101</v>
      </c>
      <c r="P27" s="23"/>
      <c r="R27" s="9" t="s">
        <v>152</v>
      </c>
    </row>
    <row r="28" spans="1:18" ht="12" customHeight="1" x14ac:dyDescent="0.2">
      <c r="A28" s="11" t="s">
        <v>212</v>
      </c>
      <c r="B28" s="81" t="s">
        <v>317</v>
      </c>
      <c r="C28" s="78">
        <v>40</v>
      </c>
      <c r="D28" s="79"/>
      <c r="E28" s="79"/>
      <c r="F28" s="79"/>
      <c r="G28" s="78">
        <f t="shared" si="8"/>
        <v>40</v>
      </c>
      <c r="H28" s="16" t="str">
        <f t="shared" si="1"/>
        <v>LOW</v>
      </c>
      <c r="M28" s="46" t="s">
        <v>307</v>
      </c>
      <c r="O28" s="30" t="s">
        <v>102</v>
      </c>
      <c r="P28" s="23"/>
      <c r="R28" s="9" t="s">
        <v>152</v>
      </c>
    </row>
    <row r="29" spans="1:18" ht="12" customHeight="1" x14ac:dyDescent="0.2">
      <c r="A29" s="11" t="s">
        <v>213</v>
      </c>
      <c r="B29" s="81" t="s">
        <v>318</v>
      </c>
      <c r="C29" s="78">
        <v>35</v>
      </c>
      <c r="D29" s="79"/>
      <c r="E29" s="79"/>
      <c r="F29" s="79"/>
      <c r="G29" s="78">
        <f t="shared" si="8"/>
        <v>35</v>
      </c>
      <c r="H29" s="16" t="str">
        <f t="shared" si="1"/>
        <v>LOW</v>
      </c>
      <c r="M29" s="46" t="s">
        <v>308</v>
      </c>
      <c r="O29" s="30" t="s">
        <v>103</v>
      </c>
      <c r="R29" s="9" t="s">
        <v>152</v>
      </c>
    </row>
    <row r="30" spans="1:18" ht="12" customHeight="1" x14ac:dyDescent="0.2">
      <c r="A30" s="11" t="s">
        <v>214</v>
      </c>
      <c r="B30" s="81" t="s">
        <v>319</v>
      </c>
      <c r="C30" s="78">
        <v>31</v>
      </c>
      <c r="D30" s="79"/>
      <c r="E30" s="79"/>
      <c r="F30" s="79"/>
      <c r="G30" s="78">
        <f t="shared" si="8"/>
        <v>31</v>
      </c>
      <c r="H30" s="16" t="str">
        <f t="shared" si="1"/>
        <v>LOW</v>
      </c>
      <c r="M30" s="46" t="s">
        <v>308</v>
      </c>
      <c r="O30" s="30" t="s">
        <v>104</v>
      </c>
      <c r="R30" s="9" t="s">
        <v>152</v>
      </c>
    </row>
    <row r="31" spans="1:18" ht="12" customHeight="1" x14ac:dyDescent="0.2">
      <c r="A31" s="11" t="s">
        <v>215</v>
      </c>
      <c r="B31" s="81" t="s">
        <v>330</v>
      </c>
      <c r="C31" s="78">
        <v>14</v>
      </c>
      <c r="D31" s="79"/>
      <c r="E31" s="79"/>
      <c r="F31" s="79"/>
      <c r="G31" s="78">
        <f t="shared" si="8"/>
        <v>14</v>
      </c>
      <c r="H31" s="57" t="str">
        <f t="shared" si="1"/>
        <v>LOW</v>
      </c>
      <c r="M31" s="46" t="s">
        <v>325</v>
      </c>
      <c r="O31" s="30" t="s">
        <v>105</v>
      </c>
      <c r="R31" s="9" t="s">
        <v>153</v>
      </c>
    </row>
    <row r="32" spans="1:18" ht="12" customHeight="1" x14ac:dyDescent="0.2">
      <c r="A32" s="11" t="s">
        <v>216</v>
      </c>
      <c r="B32" s="81" t="s">
        <v>304</v>
      </c>
      <c r="C32" s="78">
        <v>77</v>
      </c>
      <c r="D32" s="78"/>
      <c r="E32" s="78"/>
      <c r="F32" s="78">
        <v>10</v>
      </c>
      <c r="G32" s="78">
        <f t="shared" si="8"/>
        <v>67</v>
      </c>
      <c r="H32" s="16" t="str">
        <f t="shared" si="1"/>
        <v>LOW</v>
      </c>
      <c r="M32" s="46" t="s">
        <v>307</v>
      </c>
      <c r="O32" s="30" t="s">
        <v>106</v>
      </c>
      <c r="R32" s="9" t="s">
        <v>152</v>
      </c>
    </row>
    <row r="33" spans="1:18" ht="12" customHeight="1" x14ac:dyDescent="0.2">
      <c r="A33" s="11" t="s">
        <v>217</v>
      </c>
      <c r="B33" s="81" t="s">
        <v>305</v>
      </c>
      <c r="C33" s="78">
        <v>20</v>
      </c>
      <c r="D33" s="78"/>
      <c r="E33" s="78"/>
      <c r="F33" s="78">
        <v>5</v>
      </c>
      <c r="G33" s="78">
        <f t="shared" si="8"/>
        <v>15</v>
      </c>
      <c r="H33" s="16" t="str">
        <f t="shared" si="1"/>
        <v>LOW</v>
      </c>
      <c r="M33" s="46" t="s">
        <v>307</v>
      </c>
      <c r="O33" s="30" t="s">
        <v>106</v>
      </c>
      <c r="R33" s="9" t="s">
        <v>152</v>
      </c>
    </row>
    <row r="34" spans="1:18" ht="12" customHeight="1" x14ac:dyDescent="0.2">
      <c r="A34" s="11" t="s">
        <v>218</v>
      </c>
      <c r="B34" s="81" t="s">
        <v>306</v>
      </c>
      <c r="C34" s="78">
        <v>24</v>
      </c>
      <c r="D34" s="78"/>
      <c r="E34" s="78">
        <v>34</v>
      </c>
      <c r="F34" s="78">
        <v>10</v>
      </c>
      <c r="G34" s="78">
        <f t="shared" si="8"/>
        <v>48</v>
      </c>
      <c r="H34" s="16" t="str">
        <f t="shared" si="1"/>
        <v>LOW</v>
      </c>
      <c r="M34" s="46" t="s">
        <v>307</v>
      </c>
      <c r="O34" s="30" t="s">
        <v>107</v>
      </c>
      <c r="R34" s="9" t="s">
        <v>152</v>
      </c>
    </row>
    <row r="35" spans="1:18" ht="12" customHeight="1" x14ac:dyDescent="0.2">
      <c r="A35" s="85" t="s">
        <v>300</v>
      </c>
      <c r="B35" s="86" t="s">
        <v>320</v>
      </c>
      <c r="C35" s="11">
        <v>27</v>
      </c>
      <c r="D35" s="11"/>
      <c r="E35" s="87"/>
      <c r="F35" s="11"/>
      <c r="G35" s="11">
        <f t="shared" si="8"/>
        <v>27</v>
      </c>
      <c r="H35" s="16" t="str">
        <f t="shared" si="1"/>
        <v>LOW</v>
      </c>
      <c r="M35" s="46" t="s">
        <v>308</v>
      </c>
      <c r="O35" s="30" t="s">
        <v>111</v>
      </c>
      <c r="R35" s="9" t="s">
        <v>152</v>
      </c>
    </row>
    <row r="36" spans="1:18" ht="12" customHeight="1" x14ac:dyDescent="0.2">
      <c r="A36" s="11"/>
      <c r="B36" s="10" t="s">
        <v>45</v>
      </c>
      <c r="C36" s="10" t="s">
        <v>2</v>
      </c>
      <c r="D36" s="10"/>
      <c r="E36" s="83"/>
      <c r="F36" s="84"/>
      <c r="G36" s="10" t="s">
        <v>2</v>
      </c>
      <c r="H36" s="56"/>
      <c r="M36" s="46" t="s">
        <v>93</v>
      </c>
      <c r="O36" s="30" t="s">
        <v>93</v>
      </c>
      <c r="R36" s="9" t="s">
        <v>93</v>
      </c>
    </row>
    <row r="37" spans="1:18" ht="12" customHeight="1" x14ac:dyDescent="0.2">
      <c r="A37" s="11" t="s">
        <v>219</v>
      </c>
      <c r="B37" s="81" t="s">
        <v>321</v>
      </c>
      <c r="C37" s="78">
        <v>94</v>
      </c>
      <c r="D37" s="78"/>
      <c r="E37" s="78"/>
      <c r="F37" s="78"/>
      <c r="G37" s="78">
        <f t="shared" ref="G37:G43" si="9">C37+D37+E37-F37</f>
        <v>94</v>
      </c>
      <c r="H37" s="16" t="str">
        <f t="shared" si="1"/>
        <v>LOW</v>
      </c>
      <c r="M37" s="46" t="s">
        <v>307</v>
      </c>
      <c r="O37" s="30" t="s">
        <v>99</v>
      </c>
      <c r="R37" s="9" t="s">
        <v>152</v>
      </c>
    </row>
    <row r="38" spans="1:18" ht="12" customHeight="1" x14ac:dyDescent="0.2">
      <c r="A38" s="11" t="s">
        <v>172</v>
      </c>
      <c r="B38" s="81" t="s">
        <v>172</v>
      </c>
      <c r="C38" s="78">
        <v>0</v>
      </c>
      <c r="D38" s="78"/>
      <c r="E38" s="78"/>
      <c r="F38" s="78"/>
      <c r="G38" s="78">
        <f t="shared" si="9"/>
        <v>0</v>
      </c>
      <c r="H38" s="57"/>
      <c r="M38" s="46" t="s">
        <v>307</v>
      </c>
      <c r="O38" s="30" t="s">
        <v>101</v>
      </c>
      <c r="R38" s="9" t="s">
        <v>152</v>
      </c>
    </row>
    <row r="39" spans="1:18" ht="12" customHeight="1" x14ac:dyDescent="0.2">
      <c r="A39" s="11" t="s">
        <v>220</v>
      </c>
      <c r="B39" s="81" t="s">
        <v>322</v>
      </c>
      <c r="C39" s="78">
        <v>11</v>
      </c>
      <c r="D39" s="78"/>
      <c r="E39" s="78"/>
      <c r="F39" s="78"/>
      <c r="G39" s="78">
        <f t="shared" si="9"/>
        <v>11</v>
      </c>
      <c r="H39" s="16" t="str">
        <f t="shared" si="1"/>
        <v>LOW</v>
      </c>
      <c r="M39" s="46" t="s">
        <v>307</v>
      </c>
      <c r="O39" s="30" t="s">
        <v>101</v>
      </c>
      <c r="R39" s="9" t="s">
        <v>152</v>
      </c>
    </row>
    <row r="40" spans="1:18" ht="12" customHeight="1" x14ac:dyDescent="0.2">
      <c r="A40" s="11" t="s">
        <v>221</v>
      </c>
      <c r="B40" s="81" t="s">
        <v>323</v>
      </c>
      <c r="C40" s="78">
        <v>50</v>
      </c>
      <c r="D40" s="78"/>
      <c r="E40" s="78"/>
      <c r="F40" s="78"/>
      <c r="G40" s="78">
        <f t="shared" si="9"/>
        <v>50</v>
      </c>
      <c r="H40" s="16" t="str">
        <f t="shared" si="1"/>
        <v>LOW</v>
      </c>
      <c r="M40" s="46" t="s">
        <v>307</v>
      </c>
      <c r="O40" s="30" t="s">
        <v>102</v>
      </c>
      <c r="R40" s="9" t="s">
        <v>152</v>
      </c>
    </row>
    <row r="41" spans="1:18" ht="12" customHeight="1" x14ac:dyDescent="0.2">
      <c r="A41" s="11" t="s">
        <v>222</v>
      </c>
      <c r="B41" s="81" t="s">
        <v>324</v>
      </c>
      <c r="C41" s="78">
        <v>81</v>
      </c>
      <c r="D41" s="78"/>
      <c r="E41" s="78"/>
      <c r="F41" s="78"/>
      <c r="G41" s="78">
        <f t="shared" si="9"/>
        <v>81</v>
      </c>
      <c r="H41" s="16" t="str">
        <f t="shared" si="1"/>
        <v>LOW</v>
      </c>
      <c r="M41" s="46" t="s">
        <v>308</v>
      </c>
      <c r="O41" s="30" t="s">
        <v>103</v>
      </c>
      <c r="R41" s="9" t="s">
        <v>152</v>
      </c>
    </row>
    <row r="42" spans="1:18" ht="12" customHeight="1" x14ac:dyDescent="0.2">
      <c r="A42" s="11" t="s">
        <v>411</v>
      </c>
      <c r="B42" s="81" t="s">
        <v>412</v>
      </c>
      <c r="C42" s="78">
        <v>16</v>
      </c>
      <c r="D42" s="78"/>
      <c r="E42" s="78"/>
      <c r="F42" s="78"/>
      <c r="G42" s="78">
        <f t="shared" si="9"/>
        <v>16</v>
      </c>
      <c r="H42" s="16" t="str">
        <f t="shared" si="1"/>
        <v>LOW</v>
      </c>
      <c r="M42" s="46" t="s">
        <v>308</v>
      </c>
      <c r="O42" s="30" t="s">
        <v>93</v>
      </c>
      <c r="R42" s="9" t="s">
        <v>152</v>
      </c>
    </row>
    <row r="43" spans="1:18" ht="12" customHeight="1" x14ac:dyDescent="0.2">
      <c r="A43" s="11" t="s">
        <v>172</v>
      </c>
      <c r="B43" s="81" t="s">
        <v>172</v>
      </c>
      <c r="C43" s="78">
        <v>0</v>
      </c>
      <c r="D43" s="11"/>
      <c r="E43" s="11"/>
      <c r="F43" s="11"/>
      <c r="G43" s="78">
        <f t="shared" si="9"/>
        <v>0</v>
      </c>
      <c r="H43" s="16" t="str">
        <f t="shared" si="1"/>
        <v>LOW</v>
      </c>
      <c r="M43" s="46" t="s">
        <v>307</v>
      </c>
      <c r="O43" s="30" t="s">
        <v>93</v>
      </c>
      <c r="R43" s="9" t="s">
        <v>152</v>
      </c>
    </row>
    <row r="44" spans="1:18" ht="12" customHeight="1" x14ac:dyDescent="0.2">
      <c r="A44" s="11"/>
      <c r="B44" s="10" t="s">
        <v>4</v>
      </c>
      <c r="C44" s="10" t="s">
        <v>2</v>
      </c>
      <c r="D44" s="10"/>
      <c r="E44" s="83"/>
      <c r="F44" s="84"/>
      <c r="G44" s="10" t="s">
        <v>2</v>
      </c>
      <c r="H44" s="56"/>
      <c r="M44" s="46" t="s">
        <v>93</v>
      </c>
      <c r="O44" s="30" t="s">
        <v>93</v>
      </c>
      <c r="R44" s="9" t="s">
        <v>93</v>
      </c>
    </row>
    <row r="45" spans="1:18" ht="12" customHeight="1" x14ac:dyDescent="0.2">
      <c r="A45" s="11" t="s">
        <v>223</v>
      </c>
      <c r="B45" s="86" t="s">
        <v>255</v>
      </c>
      <c r="C45" s="78">
        <v>55</v>
      </c>
      <c r="D45" s="78"/>
      <c r="E45" s="78"/>
      <c r="F45" s="78"/>
      <c r="G45" s="78">
        <f>C45+D45+E45-F45</f>
        <v>55</v>
      </c>
      <c r="H45" s="16" t="str">
        <f t="shared" si="1"/>
        <v>LOW</v>
      </c>
      <c r="M45" s="46" t="s">
        <v>134</v>
      </c>
      <c r="O45" s="30" t="s">
        <v>112</v>
      </c>
      <c r="R45" s="9" t="s">
        <v>150</v>
      </c>
    </row>
    <row r="46" spans="1:18" ht="12" customHeight="1" x14ac:dyDescent="0.2">
      <c r="A46" s="11" t="s">
        <v>391</v>
      </c>
      <c r="B46" s="86" t="s">
        <v>382</v>
      </c>
      <c r="C46" s="78">
        <v>74</v>
      </c>
      <c r="D46" s="78"/>
      <c r="E46" s="78"/>
      <c r="F46" s="78"/>
      <c r="G46" s="78">
        <f>C46+D46+E46-F46</f>
        <v>74</v>
      </c>
      <c r="H46" s="16" t="str">
        <f t="shared" si="1"/>
        <v>LOW</v>
      </c>
      <c r="M46" s="46" t="s">
        <v>134</v>
      </c>
      <c r="O46" s="30" t="s">
        <v>113</v>
      </c>
      <c r="R46" s="9" t="s">
        <v>150</v>
      </c>
    </row>
    <row r="47" spans="1:18" ht="12" customHeight="1" x14ac:dyDescent="0.2">
      <c r="A47" s="11" t="s">
        <v>224</v>
      </c>
      <c r="B47" s="86" t="s">
        <v>262</v>
      </c>
      <c r="C47" s="78">
        <v>5</v>
      </c>
      <c r="D47" s="78"/>
      <c r="E47" s="78"/>
      <c r="F47" s="78"/>
      <c r="G47" s="78">
        <f>C47+D47+E47-F47</f>
        <v>5</v>
      </c>
      <c r="H47" s="16" t="str">
        <f t="shared" si="1"/>
        <v>LOW</v>
      </c>
      <c r="M47" s="46" t="s">
        <v>135</v>
      </c>
      <c r="O47" s="30" t="s">
        <v>114</v>
      </c>
      <c r="R47" s="9" t="s">
        <v>150</v>
      </c>
    </row>
    <row r="48" spans="1:18" ht="12" customHeight="1" x14ac:dyDescent="0.2">
      <c r="A48" s="11" t="s">
        <v>386</v>
      </c>
      <c r="B48" s="86" t="s">
        <v>385</v>
      </c>
      <c r="C48" s="78">
        <v>0</v>
      </c>
      <c r="D48" s="78"/>
      <c r="E48" s="78"/>
      <c r="F48" s="78"/>
      <c r="G48" s="78">
        <f>C48+D48+E48-F48</f>
        <v>0</v>
      </c>
      <c r="H48" s="16" t="str">
        <f t="shared" si="1"/>
        <v>LOW</v>
      </c>
      <c r="M48" s="46" t="s">
        <v>135</v>
      </c>
      <c r="O48" s="30" t="s">
        <v>115</v>
      </c>
      <c r="R48" s="9" t="s">
        <v>150</v>
      </c>
    </row>
    <row r="49" spans="1:18" ht="12" customHeight="1" x14ac:dyDescent="0.2">
      <c r="A49" s="11" t="s">
        <v>245</v>
      </c>
      <c r="B49" s="86"/>
      <c r="C49" s="86"/>
      <c r="D49" s="86"/>
      <c r="E49" s="86"/>
      <c r="F49" s="11"/>
      <c r="G49" s="86"/>
      <c r="H49" s="16"/>
      <c r="M49" s="46" t="s">
        <v>93</v>
      </c>
      <c r="O49" s="43" t="s">
        <v>93</v>
      </c>
      <c r="R49" s="9" t="s">
        <v>154</v>
      </c>
    </row>
    <row r="50" spans="1:18" ht="12" customHeight="1" x14ac:dyDescent="0.2">
      <c r="A50" s="11"/>
      <c r="B50" s="10" t="s">
        <v>53</v>
      </c>
      <c r="C50" s="10" t="s">
        <v>2</v>
      </c>
      <c r="D50" s="10"/>
      <c r="E50" s="83"/>
      <c r="F50" s="84"/>
      <c r="G50" s="10" t="s">
        <v>2</v>
      </c>
      <c r="H50" s="56"/>
      <c r="M50" s="46" t="s">
        <v>93</v>
      </c>
      <c r="O50" s="30" t="s">
        <v>93</v>
      </c>
      <c r="R50" s="9" t="s">
        <v>93</v>
      </c>
    </row>
    <row r="51" spans="1:18" ht="12" customHeight="1" x14ac:dyDescent="0.2">
      <c r="A51" s="11" t="s">
        <v>225</v>
      </c>
      <c r="B51" s="86" t="s">
        <v>281</v>
      </c>
      <c r="C51" s="78">
        <v>149</v>
      </c>
      <c r="D51" s="79">
        <v>35</v>
      </c>
      <c r="E51" s="79">
        <v>31</v>
      </c>
      <c r="F51" s="79"/>
      <c r="G51" s="78">
        <f t="shared" ref="G51:G62" si="10">C51+D51+E51-F51</f>
        <v>215</v>
      </c>
      <c r="H51" s="16" t="str">
        <f t="shared" si="1"/>
        <v xml:space="preserve"> </v>
      </c>
      <c r="M51" s="46" t="s">
        <v>137</v>
      </c>
      <c r="O51" s="30" t="s">
        <v>116</v>
      </c>
      <c r="R51" s="9" t="s">
        <v>154</v>
      </c>
    </row>
    <row r="52" spans="1:18" ht="12" customHeight="1" x14ac:dyDescent="0.2">
      <c r="A52" s="11" t="s">
        <v>226</v>
      </c>
      <c r="B52" s="86" t="s">
        <v>284</v>
      </c>
      <c r="C52" s="78">
        <v>71</v>
      </c>
      <c r="D52" s="79"/>
      <c r="E52" s="79"/>
      <c r="F52" s="79"/>
      <c r="G52" s="78">
        <f t="shared" si="10"/>
        <v>71</v>
      </c>
      <c r="H52" s="16" t="str">
        <f t="shared" si="1"/>
        <v>LOW</v>
      </c>
      <c r="M52" s="46" t="s">
        <v>137</v>
      </c>
      <c r="O52" s="30" t="s">
        <v>116</v>
      </c>
      <c r="R52" s="9" t="s">
        <v>154</v>
      </c>
    </row>
    <row r="53" spans="1:18" ht="12" customHeight="1" x14ac:dyDescent="0.2">
      <c r="A53" s="11" t="s">
        <v>227</v>
      </c>
      <c r="B53" s="86" t="s">
        <v>286</v>
      </c>
      <c r="C53" s="78">
        <v>61</v>
      </c>
      <c r="D53" s="79"/>
      <c r="E53" s="79"/>
      <c r="F53" s="79"/>
      <c r="G53" s="78">
        <f t="shared" si="10"/>
        <v>61</v>
      </c>
      <c r="H53" s="16" t="str">
        <f t="shared" si="1"/>
        <v>LOW</v>
      </c>
      <c r="M53" s="46" t="s">
        <v>137</v>
      </c>
      <c r="O53" s="30" t="s">
        <v>120</v>
      </c>
      <c r="R53" s="9" t="s">
        <v>154</v>
      </c>
    </row>
    <row r="54" spans="1:18" ht="12" customHeight="1" x14ac:dyDescent="0.2">
      <c r="A54" s="11" t="s">
        <v>228</v>
      </c>
      <c r="B54" s="86" t="s">
        <v>285</v>
      </c>
      <c r="C54" s="78">
        <v>61</v>
      </c>
      <c r="D54" s="79"/>
      <c r="E54" s="79"/>
      <c r="F54" s="79"/>
      <c r="G54" s="78">
        <f>C54+D54+E54-F54</f>
        <v>61</v>
      </c>
      <c r="H54" s="16" t="str">
        <f t="shared" si="1"/>
        <v>LOW</v>
      </c>
      <c r="M54" s="46" t="s">
        <v>137</v>
      </c>
      <c r="O54" s="30" t="s">
        <v>120</v>
      </c>
      <c r="R54" s="9" t="s">
        <v>154</v>
      </c>
    </row>
    <row r="55" spans="1:18" ht="12" customHeight="1" x14ac:dyDescent="0.2">
      <c r="A55" s="11" t="s">
        <v>229</v>
      </c>
      <c r="B55" s="86" t="s">
        <v>282</v>
      </c>
      <c r="C55" s="78">
        <v>134</v>
      </c>
      <c r="D55" s="79"/>
      <c r="E55" s="79"/>
      <c r="F55" s="79"/>
      <c r="G55" s="78">
        <f t="shared" si="10"/>
        <v>134</v>
      </c>
      <c r="H55" s="16" t="str">
        <f t="shared" si="1"/>
        <v xml:space="preserve"> </v>
      </c>
      <c r="M55" s="46" t="s">
        <v>137</v>
      </c>
      <c r="O55" s="30" t="s">
        <v>116</v>
      </c>
      <c r="P55" s="50" t="s">
        <v>122</v>
      </c>
      <c r="R55" s="9" t="s">
        <v>154</v>
      </c>
    </row>
    <row r="56" spans="1:18" ht="12" customHeight="1" x14ac:dyDescent="0.2">
      <c r="A56" s="11" t="s">
        <v>230</v>
      </c>
      <c r="B56" s="86" t="s">
        <v>283</v>
      </c>
      <c r="C56" s="78">
        <v>26</v>
      </c>
      <c r="D56" s="79"/>
      <c r="E56" s="79"/>
      <c r="F56" s="79"/>
      <c r="G56" s="78">
        <f t="shared" si="10"/>
        <v>26</v>
      </c>
      <c r="H56" s="16" t="str">
        <f t="shared" si="1"/>
        <v>LOW</v>
      </c>
      <c r="M56" s="46" t="s">
        <v>137</v>
      </c>
      <c r="O56" s="30" t="s">
        <v>116</v>
      </c>
      <c r="P56" s="50" t="s">
        <v>122</v>
      </c>
      <c r="R56" s="9" t="s">
        <v>154</v>
      </c>
    </row>
    <row r="57" spans="1:18" ht="12" customHeight="1" x14ac:dyDescent="0.2">
      <c r="A57" s="11" t="s">
        <v>418</v>
      </c>
      <c r="B57" s="86" t="s">
        <v>424</v>
      </c>
      <c r="C57" s="78">
        <v>0</v>
      </c>
      <c r="D57" s="79"/>
      <c r="E57" s="79"/>
      <c r="F57" s="79"/>
      <c r="G57" s="78">
        <f t="shared" si="10"/>
        <v>0</v>
      </c>
      <c r="H57" s="16" t="str">
        <f t="shared" si="1"/>
        <v>LOW</v>
      </c>
      <c r="M57" s="46" t="s">
        <v>141</v>
      </c>
      <c r="O57" s="30" t="s">
        <v>120</v>
      </c>
      <c r="P57" s="50" t="s">
        <v>122</v>
      </c>
      <c r="R57" s="9" t="s">
        <v>154</v>
      </c>
    </row>
    <row r="58" spans="1:18" ht="12" customHeight="1" x14ac:dyDescent="0.2">
      <c r="A58" s="11" t="s">
        <v>419</v>
      </c>
      <c r="B58" s="86" t="s">
        <v>425</v>
      </c>
      <c r="C58" s="78">
        <v>4</v>
      </c>
      <c r="D58" s="79"/>
      <c r="E58" s="79"/>
      <c r="F58" s="79"/>
      <c r="G58" s="78">
        <f t="shared" si="10"/>
        <v>4</v>
      </c>
      <c r="H58" s="16" t="str">
        <f t="shared" si="1"/>
        <v>LOW</v>
      </c>
      <c r="M58" s="46" t="s">
        <v>141</v>
      </c>
      <c r="O58" s="30" t="s">
        <v>120</v>
      </c>
      <c r="P58" s="50" t="s">
        <v>122</v>
      </c>
      <c r="R58" s="9" t="s">
        <v>154</v>
      </c>
    </row>
    <row r="59" spans="1:18" ht="12" customHeight="1" x14ac:dyDescent="0.2">
      <c r="A59" s="11" t="s">
        <v>371</v>
      </c>
      <c r="B59" s="81" t="s">
        <v>372</v>
      </c>
      <c r="C59" s="78">
        <v>0</v>
      </c>
      <c r="D59" s="79"/>
      <c r="E59" s="79"/>
      <c r="F59" s="79"/>
      <c r="G59" s="78">
        <f t="shared" si="10"/>
        <v>0</v>
      </c>
      <c r="H59" s="16" t="str">
        <f t="shared" si="1"/>
        <v>LOW</v>
      </c>
      <c r="M59" s="46" t="s">
        <v>136</v>
      </c>
      <c r="O59" s="30" t="s">
        <v>118</v>
      </c>
      <c r="R59" s="9" t="s">
        <v>93</v>
      </c>
    </row>
    <row r="60" spans="1:18" ht="12" customHeight="1" x14ac:dyDescent="0.2">
      <c r="A60" s="11" t="s">
        <v>373</v>
      </c>
      <c r="B60" s="81" t="s">
        <v>374</v>
      </c>
      <c r="C60" s="78">
        <v>0</v>
      </c>
      <c r="D60" s="79"/>
      <c r="E60" s="79"/>
      <c r="F60" s="79"/>
      <c r="G60" s="78">
        <f t="shared" si="10"/>
        <v>0</v>
      </c>
      <c r="H60" s="16" t="str">
        <f t="shared" si="1"/>
        <v>LOW</v>
      </c>
      <c r="M60" s="46" t="s">
        <v>136</v>
      </c>
      <c r="O60" s="30" t="s">
        <v>118</v>
      </c>
      <c r="R60" s="9" t="s">
        <v>93</v>
      </c>
    </row>
    <row r="61" spans="1:18" ht="12" customHeight="1" x14ac:dyDescent="0.2">
      <c r="A61" s="11" t="s">
        <v>375</v>
      </c>
      <c r="B61" s="81" t="s">
        <v>376</v>
      </c>
      <c r="C61" s="78">
        <v>0</v>
      </c>
      <c r="D61" s="79"/>
      <c r="E61" s="79"/>
      <c r="F61" s="79"/>
      <c r="G61" s="78">
        <f t="shared" si="10"/>
        <v>0</v>
      </c>
      <c r="H61" s="16" t="str">
        <f t="shared" si="1"/>
        <v>LOW</v>
      </c>
      <c r="M61" s="46" t="s">
        <v>136</v>
      </c>
      <c r="O61" s="30" t="s">
        <v>121</v>
      </c>
      <c r="R61" s="9" t="s">
        <v>93</v>
      </c>
    </row>
    <row r="62" spans="1:18" ht="12" customHeight="1" x14ac:dyDescent="0.2">
      <c r="A62" s="11" t="s">
        <v>378</v>
      </c>
      <c r="B62" s="81" t="s">
        <v>377</v>
      </c>
      <c r="C62" s="78">
        <v>0</v>
      </c>
      <c r="D62" s="79"/>
      <c r="E62" s="79"/>
      <c r="F62" s="79"/>
      <c r="G62" s="78">
        <f t="shared" si="10"/>
        <v>0</v>
      </c>
      <c r="H62" s="16" t="str">
        <f t="shared" si="1"/>
        <v>LOW</v>
      </c>
      <c r="M62" s="46" t="s">
        <v>136</v>
      </c>
      <c r="O62" s="30" t="s">
        <v>121</v>
      </c>
      <c r="R62" s="9" t="s">
        <v>93</v>
      </c>
    </row>
    <row r="63" spans="1:18" ht="12" customHeight="1" x14ac:dyDescent="0.2">
      <c r="A63" s="11"/>
      <c r="B63" s="10" t="s">
        <v>68</v>
      </c>
      <c r="C63" s="10" t="s">
        <v>2</v>
      </c>
      <c r="D63" s="88"/>
      <c r="E63" s="83"/>
      <c r="F63" s="84"/>
      <c r="G63" s="10" t="s">
        <v>2</v>
      </c>
      <c r="H63" s="56"/>
      <c r="M63" s="46" t="s">
        <v>93</v>
      </c>
      <c r="O63" s="30" t="s">
        <v>93</v>
      </c>
      <c r="R63" s="9" t="s">
        <v>93</v>
      </c>
    </row>
    <row r="64" spans="1:18" ht="12" customHeight="1" x14ac:dyDescent="0.2">
      <c r="A64" s="11" t="s">
        <v>420</v>
      </c>
      <c r="B64" s="86" t="s">
        <v>421</v>
      </c>
      <c r="C64" s="78">
        <v>0</v>
      </c>
      <c r="D64" s="79"/>
      <c r="E64" s="79"/>
      <c r="F64" s="79"/>
      <c r="G64" s="78">
        <f>C64+D64+E64-F64</f>
        <v>0</v>
      </c>
      <c r="H64" s="16" t="str">
        <f>IF(G64&lt;100,"LOW"," ")</f>
        <v>LOW</v>
      </c>
      <c r="M64" s="46" t="s">
        <v>141</v>
      </c>
      <c r="O64" s="30" t="s">
        <v>123</v>
      </c>
      <c r="R64" s="9" t="s">
        <v>154</v>
      </c>
    </row>
    <row r="65" spans="1:18" ht="12" customHeight="1" x14ac:dyDescent="0.2">
      <c r="A65" s="11" t="s">
        <v>172</v>
      </c>
      <c r="B65" s="81" t="s">
        <v>172</v>
      </c>
      <c r="C65" s="78">
        <v>0</v>
      </c>
      <c r="D65" s="79"/>
      <c r="E65" s="79"/>
      <c r="F65" s="79"/>
      <c r="G65" s="78">
        <f>C65+D65+E65-F65</f>
        <v>0</v>
      </c>
      <c r="H65" s="16" t="str">
        <f>IF(G65&lt;100,"LOW"," ")</f>
        <v>LOW</v>
      </c>
      <c r="M65" s="46" t="s">
        <v>93</v>
      </c>
      <c r="O65" s="30" t="s">
        <v>124</v>
      </c>
      <c r="R65" s="9" t="s">
        <v>93</v>
      </c>
    </row>
    <row r="66" spans="1:18" ht="12" customHeight="1" x14ac:dyDescent="0.2">
      <c r="A66" s="11" t="s">
        <v>314</v>
      </c>
      <c r="B66" s="86" t="s">
        <v>315</v>
      </c>
      <c r="C66" s="78">
        <v>42</v>
      </c>
      <c r="D66" s="79"/>
      <c r="E66" s="79"/>
      <c r="F66" s="79"/>
      <c r="G66" s="78">
        <f>C66+D66+E66-F66</f>
        <v>42</v>
      </c>
      <c r="H66" s="16" t="str">
        <f>IF(G66&lt;100,"LOW"," ")</f>
        <v>LOW</v>
      </c>
      <c r="M66" s="46" t="s">
        <v>138</v>
      </c>
      <c r="O66" s="30" t="s">
        <v>119</v>
      </c>
      <c r="R66" s="9" t="s">
        <v>154</v>
      </c>
    </row>
    <row r="67" spans="1:18" ht="12" customHeight="1" x14ac:dyDescent="0.2">
      <c r="A67" s="11" t="s">
        <v>361</v>
      </c>
      <c r="B67" s="86" t="s">
        <v>362</v>
      </c>
      <c r="C67" s="78">
        <v>75</v>
      </c>
      <c r="D67" s="79"/>
      <c r="E67" s="79"/>
      <c r="F67" s="79"/>
      <c r="G67" s="78">
        <f>C67+D67+E67-F67</f>
        <v>75</v>
      </c>
      <c r="H67" s="16" t="str">
        <f>IF(G67&lt;100,"LOW"," ")</f>
        <v>LOW</v>
      </c>
      <c r="K67" s="9" t="s">
        <v>78</v>
      </c>
      <c r="M67" s="46" t="s">
        <v>138</v>
      </c>
      <c r="O67" s="30" t="s">
        <v>117</v>
      </c>
      <c r="R67" s="9" t="s">
        <v>154</v>
      </c>
    </row>
    <row r="68" spans="1:18" ht="12" customHeight="1" x14ac:dyDescent="0.2">
      <c r="A68" s="11"/>
      <c r="B68" s="10" t="s">
        <v>54</v>
      </c>
      <c r="C68" s="10" t="s">
        <v>2</v>
      </c>
      <c r="D68" s="10"/>
      <c r="E68" s="83"/>
      <c r="F68" s="84"/>
      <c r="G68" s="10" t="s">
        <v>2</v>
      </c>
      <c r="H68" s="56"/>
      <c r="M68" s="46" t="s">
        <v>93</v>
      </c>
      <c r="O68" s="30" t="s">
        <v>93</v>
      </c>
      <c r="R68" s="9" t="s">
        <v>93</v>
      </c>
    </row>
    <row r="69" spans="1:18" ht="12" customHeight="1" x14ac:dyDescent="0.2">
      <c r="A69" s="32" t="s">
        <v>231</v>
      </c>
      <c r="B69" s="82" t="s">
        <v>287</v>
      </c>
      <c r="C69" s="78">
        <v>69</v>
      </c>
      <c r="D69" s="78"/>
      <c r="E69" s="78"/>
      <c r="F69" s="78"/>
      <c r="G69" s="78">
        <f>C69+D69+E69-F69</f>
        <v>69</v>
      </c>
      <c r="H69" s="16" t="str">
        <f t="shared" ref="H69:H76" si="11">IF(G69&lt;100,"LOW"," ")</f>
        <v>LOW</v>
      </c>
      <c r="M69" s="46" t="s">
        <v>139</v>
      </c>
      <c r="O69" s="30" t="s">
        <v>125</v>
      </c>
      <c r="R69" s="9" t="s">
        <v>155</v>
      </c>
    </row>
    <row r="70" spans="1:18" ht="12" customHeight="1" x14ac:dyDescent="0.2">
      <c r="A70" s="11" t="s">
        <v>232</v>
      </c>
      <c r="B70" s="81" t="s">
        <v>368</v>
      </c>
      <c r="C70" s="78">
        <v>14</v>
      </c>
      <c r="D70" s="78"/>
      <c r="E70" s="78"/>
      <c r="F70" s="78"/>
      <c r="G70" s="78">
        <f>C70+D70+E70-F70</f>
        <v>14</v>
      </c>
      <c r="H70" s="16" t="str">
        <f t="shared" si="11"/>
        <v>LOW</v>
      </c>
      <c r="M70" s="46" t="s">
        <v>139</v>
      </c>
      <c r="O70" s="30" t="s">
        <v>126</v>
      </c>
      <c r="R70" s="9" t="s">
        <v>155</v>
      </c>
    </row>
    <row r="71" spans="1:18" ht="12" customHeight="1" x14ac:dyDescent="0.2">
      <c r="A71" s="11" t="s">
        <v>233</v>
      </c>
      <c r="B71" s="81" t="s">
        <v>247</v>
      </c>
      <c r="C71" s="78">
        <v>51</v>
      </c>
      <c r="D71" s="78"/>
      <c r="E71" s="78"/>
      <c r="F71" s="78"/>
      <c r="G71" s="78">
        <f>C71+D71+E71-F71</f>
        <v>51</v>
      </c>
      <c r="H71" s="16" t="str">
        <f t="shared" si="11"/>
        <v>LOW</v>
      </c>
      <c r="M71" s="46" t="s">
        <v>140</v>
      </c>
      <c r="O71" s="30" t="s">
        <v>127</v>
      </c>
      <c r="R71" s="9" t="s">
        <v>155</v>
      </c>
    </row>
    <row r="72" spans="1:18" ht="12" customHeight="1" x14ac:dyDescent="0.2">
      <c r="A72" s="15"/>
      <c r="B72" s="15" t="s">
        <v>69</v>
      </c>
      <c r="C72" s="74" t="s">
        <v>2</v>
      </c>
      <c r="D72" s="15"/>
      <c r="E72" s="83"/>
      <c r="F72" s="84"/>
      <c r="G72" s="15" t="s">
        <v>2</v>
      </c>
      <c r="H72" s="56"/>
      <c r="M72" s="46" t="s">
        <v>93</v>
      </c>
      <c r="O72" s="30" t="s">
        <v>93</v>
      </c>
      <c r="R72" s="9" t="s">
        <v>93</v>
      </c>
    </row>
    <row r="73" spans="1:18" ht="15" customHeight="1" x14ac:dyDescent="0.2">
      <c r="A73" s="5" t="s">
        <v>234</v>
      </c>
      <c r="B73" s="60" t="s">
        <v>351</v>
      </c>
      <c r="C73" s="20">
        <v>51</v>
      </c>
      <c r="D73" s="20"/>
      <c r="E73" s="20"/>
      <c r="F73" s="20"/>
      <c r="G73" s="20">
        <f>C73+D73+E73-F73</f>
        <v>51</v>
      </c>
      <c r="H73" s="16" t="str">
        <f t="shared" si="11"/>
        <v>LOW</v>
      </c>
      <c r="M73" s="46" t="s">
        <v>136</v>
      </c>
      <c r="O73" s="30" t="s">
        <v>128</v>
      </c>
      <c r="R73" s="9" t="s">
        <v>93</v>
      </c>
    </row>
    <row r="74" spans="1:18" ht="13.15" customHeight="1" x14ac:dyDescent="0.2">
      <c r="A74" s="5" t="s">
        <v>235</v>
      </c>
      <c r="B74" s="60" t="s">
        <v>383</v>
      </c>
      <c r="C74" s="20">
        <v>0</v>
      </c>
      <c r="D74" s="20"/>
      <c r="E74" s="20"/>
      <c r="F74" s="20"/>
      <c r="G74" s="20">
        <f t="shared" ref="G74:G76" si="12">C74+D74+E74-F74</f>
        <v>0</v>
      </c>
      <c r="H74" s="16" t="str">
        <f t="shared" si="11"/>
        <v>LOW</v>
      </c>
      <c r="M74" s="46" t="s">
        <v>136</v>
      </c>
      <c r="O74" s="30" t="s">
        <v>129</v>
      </c>
      <c r="R74" s="9" t="s">
        <v>93</v>
      </c>
    </row>
    <row r="75" spans="1:18" ht="11.45" customHeight="1" x14ac:dyDescent="0.2">
      <c r="A75" s="5" t="s">
        <v>236</v>
      </c>
      <c r="B75" s="60" t="s">
        <v>417</v>
      </c>
      <c r="C75" s="20">
        <v>64</v>
      </c>
      <c r="D75" s="20"/>
      <c r="E75" s="20"/>
      <c r="F75" s="20"/>
      <c r="G75" s="20">
        <f t="shared" si="12"/>
        <v>64</v>
      </c>
      <c r="H75" s="16" t="str">
        <f t="shared" si="11"/>
        <v>LOW</v>
      </c>
      <c r="M75" s="46" t="s">
        <v>136</v>
      </c>
      <c r="O75" s="30" t="s">
        <v>130</v>
      </c>
      <c r="R75" s="9" t="s">
        <v>93</v>
      </c>
    </row>
    <row r="76" spans="1:18" ht="12" customHeight="1" x14ac:dyDescent="0.2">
      <c r="A76" s="5" t="s">
        <v>237</v>
      </c>
      <c r="B76" s="60" t="s">
        <v>408</v>
      </c>
      <c r="C76" s="20">
        <v>0</v>
      </c>
      <c r="D76" s="20"/>
      <c r="E76" s="20"/>
      <c r="F76" s="20"/>
      <c r="G76" s="20">
        <f t="shared" si="12"/>
        <v>0</v>
      </c>
      <c r="H76" s="16" t="str">
        <f t="shared" si="11"/>
        <v>LOW</v>
      </c>
      <c r="M76" s="46" t="s">
        <v>136</v>
      </c>
      <c r="O76" s="30" t="s">
        <v>131</v>
      </c>
      <c r="R76" s="9" t="s">
        <v>93</v>
      </c>
    </row>
    <row r="77" spans="1:18" ht="15" customHeight="1" x14ac:dyDescent="0.2">
      <c r="A77" s="74"/>
      <c r="B77" s="74" t="s">
        <v>244</v>
      </c>
      <c r="C77" s="74" t="s">
        <v>2</v>
      </c>
      <c r="D77" s="74"/>
      <c r="E77" s="89"/>
      <c r="F77" s="90"/>
      <c r="G77" s="74" t="s">
        <v>2</v>
      </c>
      <c r="H77" s="75"/>
      <c r="M77" s="46" t="s">
        <v>93</v>
      </c>
      <c r="O77" s="30" t="s">
        <v>93</v>
      </c>
      <c r="R77" s="9" t="s">
        <v>93</v>
      </c>
    </row>
    <row r="78" spans="1:18" ht="14.25" customHeight="1" x14ac:dyDescent="0.2">
      <c r="A78" s="23" t="s">
        <v>248</v>
      </c>
      <c r="B78" s="81" t="s">
        <v>346</v>
      </c>
      <c r="C78" s="78">
        <v>41</v>
      </c>
      <c r="D78" s="78"/>
      <c r="E78" s="78"/>
      <c r="F78" s="78"/>
      <c r="G78" s="78">
        <f t="shared" ref="G78:G90" si="13">C78+D78+E78-F78</f>
        <v>41</v>
      </c>
      <c r="H78" s="76" t="str">
        <f t="shared" ref="H78:H90" si="14">IF(G78&lt;100,"LOW"," ")</f>
        <v>LOW</v>
      </c>
      <c r="M78" s="46" t="s">
        <v>138</v>
      </c>
      <c r="O78" s="30" t="s">
        <v>93</v>
      </c>
      <c r="R78" s="9" t="s">
        <v>154</v>
      </c>
    </row>
    <row r="79" spans="1:18" ht="13.5" customHeight="1" x14ac:dyDescent="0.2">
      <c r="A79" s="23" t="s">
        <v>434</v>
      </c>
      <c r="B79" s="81" t="s">
        <v>333</v>
      </c>
      <c r="C79" s="78">
        <v>5</v>
      </c>
      <c r="D79" s="78"/>
      <c r="E79" s="78"/>
      <c r="F79" s="78">
        <v>5</v>
      </c>
      <c r="G79" s="78">
        <f t="shared" si="13"/>
        <v>0</v>
      </c>
      <c r="H79" s="76" t="str">
        <f t="shared" si="14"/>
        <v>LOW</v>
      </c>
      <c r="M79" s="46" t="s">
        <v>307</v>
      </c>
      <c r="O79" s="30" t="s">
        <v>100</v>
      </c>
      <c r="R79" s="9" t="s">
        <v>152</v>
      </c>
    </row>
    <row r="80" spans="1:18" ht="14.25" x14ac:dyDescent="0.2">
      <c r="A80" s="5" t="s">
        <v>243</v>
      </c>
      <c r="B80" s="86" t="s">
        <v>347</v>
      </c>
      <c r="C80" s="78">
        <v>26</v>
      </c>
      <c r="D80" s="78"/>
      <c r="E80" s="78"/>
      <c r="F80" s="78"/>
      <c r="G80" s="78">
        <f t="shared" si="13"/>
        <v>26</v>
      </c>
      <c r="H80" s="76" t="str">
        <f t="shared" si="14"/>
        <v>LOW</v>
      </c>
      <c r="I80" s="1"/>
      <c r="J80" s="1"/>
      <c r="K80" s="1"/>
      <c r="L80" s="1"/>
      <c r="M80" s="3" t="s">
        <v>138</v>
      </c>
      <c r="N80" s="1"/>
      <c r="O80" s="1" t="s">
        <v>93</v>
      </c>
      <c r="P80" s="1"/>
      <c r="R80" s="1" t="s">
        <v>154</v>
      </c>
    </row>
    <row r="81" spans="1:18" ht="15" x14ac:dyDescent="0.2">
      <c r="A81" s="11" t="s">
        <v>202</v>
      </c>
      <c r="B81" s="81" t="s">
        <v>505</v>
      </c>
      <c r="C81" s="78">
        <v>21</v>
      </c>
      <c r="D81" s="78"/>
      <c r="E81" s="78"/>
      <c r="F81" s="78"/>
      <c r="G81" s="78">
        <f t="shared" si="13"/>
        <v>21</v>
      </c>
      <c r="H81" s="76" t="str">
        <f t="shared" si="14"/>
        <v>LOW</v>
      </c>
      <c r="I81" s="1" t="s">
        <v>78</v>
      </c>
      <c r="J81" s="1"/>
      <c r="K81" s="1"/>
      <c r="L81" s="1"/>
      <c r="M81" s="46" t="s">
        <v>134</v>
      </c>
      <c r="N81" s="1"/>
      <c r="O81" s="1" t="s">
        <v>93</v>
      </c>
      <c r="P81" s="1"/>
      <c r="R81" s="9" t="s">
        <v>150</v>
      </c>
    </row>
    <row r="82" spans="1:18" ht="11.25" customHeight="1" x14ac:dyDescent="0.2">
      <c r="A82" s="119" t="s">
        <v>379</v>
      </c>
      <c r="B82" s="82" t="s">
        <v>428</v>
      </c>
      <c r="C82" s="78">
        <v>0</v>
      </c>
      <c r="D82" s="78"/>
      <c r="E82" s="78"/>
      <c r="F82" s="78"/>
      <c r="G82" s="78">
        <f t="shared" si="13"/>
        <v>0</v>
      </c>
      <c r="H82" s="76" t="str">
        <f t="shared" si="14"/>
        <v>LOW</v>
      </c>
      <c r="I82" s="1"/>
      <c r="J82" s="1"/>
      <c r="K82" s="1"/>
      <c r="L82" s="1"/>
      <c r="M82" s="46" t="s">
        <v>139</v>
      </c>
      <c r="N82" s="1"/>
      <c r="O82" s="1" t="s">
        <v>93</v>
      </c>
      <c r="P82" s="1"/>
      <c r="R82" s="9" t="s">
        <v>155</v>
      </c>
    </row>
    <row r="83" spans="1:18" ht="13.5" customHeight="1" x14ac:dyDescent="0.2">
      <c r="A83" s="23" t="s">
        <v>433</v>
      </c>
      <c r="B83" s="81" t="s">
        <v>429</v>
      </c>
      <c r="C83" s="78">
        <v>0</v>
      </c>
      <c r="D83" s="78"/>
      <c r="E83" s="78"/>
      <c r="F83" s="78"/>
      <c r="G83" s="78">
        <f t="shared" si="13"/>
        <v>0</v>
      </c>
      <c r="H83" s="76" t="str">
        <f t="shared" si="14"/>
        <v>LOW</v>
      </c>
      <c r="I83" s="1"/>
      <c r="J83" s="1" t="s">
        <v>78</v>
      </c>
      <c r="K83" s="1"/>
      <c r="L83" s="1"/>
      <c r="M83" s="46" t="s">
        <v>140</v>
      </c>
      <c r="N83" s="1"/>
      <c r="O83" s="1" t="s">
        <v>93</v>
      </c>
      <c r="P83" s="1"/>
      <c r="R83" s="9" t="s">
        <v>155</v>
      </c>
    </row>
    <row r="84" spans="1:18" ht="12" customHeight="1" x14ac:dyDescent="0.2">
      <c r="A84" s="11" t="s">
        <v>207</v>
      </c>
      <c r="B84" s="81" t="s">
        <v>350</v>
      </c>
      <c r="C84" s="78">
        <v>1</v>
      </c>
      <c r="D84" s="78"/>
      <c r="E84" s="78"/>
      <c r="F84" s="78"/>
      <c r="G84" s="78">
        <f t="shared" si="13"/>
        <v>1</v>
      </c>
      <c r="H84" s="76" t="str">
        <f t="shared" si="14"/>
        <v>LOW</v>
      </c>
      <c r="I84" s="1"/>
      <c r="J84" s="1"/>
      <c r="K84" s="1"/>
      <c r="L84" s="1"/>
      <c r="M84" s="46" t="s">
        <v>142</v>
      </c>
      <c r="N84" s="1"/>
      <c r="O84" s="1" t="s">
        <v>93</v>
      </c>
      <c r="P84" s="1"/>
      <c r="R84" s="9" t="s">
        <v>151</v>
      </c>
    </row>
    <row r="85" spans="1:18" ht="12.75" customHeight="1" x14ac:dyDescent="0.2">
      <c r="A85" s="11" t="s">
        <v>443</v>
      </c>
      <c r="B85" s="81" t="s">
        <v>444</v>
      </c>
      <c r="C85" s="78">
        <v>0</v>
      </c>
      <c r="D85" s="78"/>
      <c r="E85" s="78"/>
      <c r="F85" s="78"/>
      <c r="G85" s="78">
        <f t="shared" si="13"/>
        <v>0</v>
      </c>
      <c r="H85" s="76" t="str">
        <f t="shared" si="14"/>
        <v>LOW</v>
      </c>
      <c r="I85" s="1"/>
      <c r="J85" s="1"/>
      <c r="K85" s="1"/>
      <c r="L85" s="1"/>
      <c r="M85" s="46" t="s">
        <v>307</v>
      </c>
      <c r="N85" s="1"/>
      <c r="O85" s="1" t="s">
        <v>93</v>
      </c>
      <c r="P85" s="1"/>
      <c r="R85" s="9" t="s">
        <v>152</v>
      </c>
    </row>
    <row r="86" spans="1:18" ht="12" customHeight="1" x14ac:dyDescent="0.2">
      <c r="A86" s="11" t="s">
        <v>446</v>
      </c>
      <c r="B86" s="81" t="s">
        <v>445</v>
      </c>
      <c r="C86" s="78">
        <v>20</v>
      </c>
      <c r="D86" s="78"/>
      <c r="E86" s="78"/>
      <c r="F86" s="11"/>
      <c r="G86" s="78">
        <f t="shared" si="13"/>
        <v>20</v>
      </c>
      <c r="H86" s="76" t="str">
        <f t="shared" si="14"/>
        <v>LOW</v>
      </c>
      <c r="M86" s="46" t="s">
        <v>307</v>
      </c>
      <c r="O86" s="43" t="s">
        <v>99</v>
      </c>
      <c r="R86" s="9" t="s">
        <v>152</v>
      </c>
    </row>
    <row r="87" spans="1:18" ht="13.5" customHeight="1" x14ac:dyDescent="0.2">
      <c r="A87" s="5" t="s">
        <v>503</v>
      </c>
      <c r="B87" s="86" t="s">
        <v>504</v>
      </c>
      <c r="C87" s="78">
        <v>33</v>
      </c>
      <c r="D87" s="78"/>
      <c r="E87" s="78"/>
      <c r="F87" s="78"/>
      <c r="G87" s="78">
        <f t="shared" si="13"/>
        <v>33</v>
      </c>
      <c r="H87" s="77" t="str">
        <f t="shared" si="14"/>
        <v>LOW</v>
      </c>
      <c r="M87" s="46" t="s">
        <v>138</v>
      </c>
      <c r="O87" s="30" t="s">
        <v>116</v>
      </c>
      <c r="R87" s="9" t="s">
        <v>154</v>
      </c>
    </row>
    <row r="88" spans="1:18" ht="12.75" customHeight="1" x14ac:dyDescent="0.2">
      <c r="A88" s="11" t="s">
        <v>453</v>
      </c>
      <c r="B88" s="81" t="s">
        <v>454</v>
      </c>
      <c r="C88" s="78">
        <v>6</v>
      </c>
      <c r="D88" s="78"/>
      <c r="E88" s="78"/>
      <c r="F88" s="11"/>
      <c r="G88" s="78">
        <f t="shared" si="13"/>
        <v>6</v>
      </c>
      <c r="H88" s="77" t="str">
        <f t="shared" si="14"/>
        <v>LOW</v>
      </c>
      <c r="M88" s="46" t="s">
        <v>134</v>
      </c>
      <c r="O88" s="30" t="s">
        <v>121</v>
      </c>
      <c r="R88" s="9" t="s">
        <v>150</v>
      </c>
    </row>
    <row r="89" spans="1:18" ht="12" customHeight="1" x14ac:dyDescent="0.2">
      <c r="A89" s="11" t="s">
        <v>460</v>
      </c>
      <c r="B89" s="81" t="s">
        <v>461</v>
      </c>
      <c r="C89" s="78">
        <v>92</v>
      </c>
      <c r="D89" s="78"/>
      <c r="E89" s="78"/>
      <c r="F89" s="11"/>
      <c r="G89" s="78">
        <f>C89+D89+E89-F89</f>
        <v>92</v>
      </c>
      <c r="H89" s="77" t="str">
        <f t="shared" si="14"/>
        <v>LOW</v>
      </c>
      <c r="M89" s="46" t="s">
        <v>93</v>
      </c>
      <c r="O89" s="1" t="s">
        <v>93</v>
      </c>
      <c r="R89" s="9" t="s">
        <v>93</v>
      </c>
    </row>
    <row r="90" spans="1:18" ht="12" customHeight="1" x14ac:dyDescent="0.2">
      <c r="A90" s="23" t="s">
        <v>501</v>
      </c>
      <c r="B90" s="118" t="s">
        <v>502</v>
      </c>
      <c r="C90" s="78">
        <v>13</v>
      </c>
      <c r="D90" s="78"/>
      <c r="E90" s="78"/>
      <c r="F90" s="11"/>
      <c r="G90" s="78">
        <f t="shared" si="13"/>
        <v>13</v>
      </c>
      <c r="H90" s="77" t="str">
        <f t="shared" si="14"/>
        <v>LOW</v>
      </c>
      <c r="M90" s="46" t="s">
        <v>170</v>
      </c>
      <c r="O90" s="1" t="s">
        <v>93</v>
      </c>
      <c r="R90" s="9" t="s">
        <v>148</v>
      </c>
    </row>
    <row r="91" spans="1:18" x14ac:dyDescent="0.2">
      <c r="B91" s="9" t="s">
        <v>78</v>
      </c>
      <c r="L91" s="9" t="s">
        <v>78</v>
      </c>
    </row>
    <row r="92" spans="1:18" x14ac:dyDescent="0.2">
      <c r="B92" s="9" t="s">
        <v>78</v>
      </c>
    </row>
    <row r="93" spans="1:18" x14ac:dyDescent="0.2">
      <c r="B93" s="9" t="s">
        <v>78</v>
      </c>
    </row>
    <row r="96" spans="1:18" ht="12" customHeight="1" x14ac:dyDescent="0.2"/>
  </sheetData>
  <mergeCells count="1">
    <mergeCell ref="A1:G1"/>
  </mergeCells>
  <phoneticPr fontId="12" type="noConversion"/>
  <pageMargins left="0" right="0" top="0" bottom="0" header="0" footer="0"/>
  <pageSetup paperSize="5" scale="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Container">
                <anchor moveWithCells="1" sizeWithCells="1">
                  <from>
                    <xdr:col>8</xdr:col>
                    <xdr:colOff>123825</xdr:colOff>
                    <xdr:row>11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tockContainer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T79"/>
  <sheetViews>
    <sheetView zoomScale="83" zoomScaleNormal="83" workbookViewId="0">
      <selection activeCell="C4" sqref="C4:C150"/>
    </sheetView>
  </sheetViews>
  <sheetFormatPr defaultColWidth="6.9921875" defaultRowHeight="15" x14ac:dyDescent="0.2"/>
  <cols>
    <col min="1" max="1" width="7.53125" customWidth="1"/>
    <col min="2" max="2" width="35.91796875" bestFit="1" customWidth="1"/>
    <col min="3" max="4" width="10.22265625" style="26" customWidth="1"/>
    <col min="5" max="6" width="10.89453125" style="26" bestFit="1" customWidth="1"/>
    <col min="7" max="7" width="10.76171875" customWidth="1"/>
    <col min="8" max="8" width="5.6484375" customWidth="1"/>
  </cols>
  <sheetData>
    <row r="2" spans="1:20" x14ac:dyDescent="0.2">
      <c r="A2" s="16"/>
      <c r="B2" s="16"/>
      <c r="C2" s="16"/>
      <c r="D2" s="29"/>
      <c r="E2" s="33">
        <f ca="1">TODAY()</f>
        <v>46231</v>
      </c>
      <c r="F2" s="33">
        <f ca="1">TODAY()-1</f>
        <v>46230</v>
      </c>
      <c r="G2" s="21"/>
      <c r="H2" s="24"/>
      <c r="J2" s="41"/>
      <c r="K2" s="41"/>
      <c r="L2" s="41"/>
    </row>
    <row r="3" spans="1:20" x14ac:dyDescent="0.2">
      <c r="A3" s="42"/>
      <c r="B3" s="27" t="s">
        <v>21</v>
      </c>
      <c r="C3" s="27" t="s">
        <v>2</v>
      </c>
      <c r="D3" s="52" t="s">
        <v>12</v>
      </c>
      <c r="E3" s="27" t="s">
        <v>5</v>
      </c>
      <c r="F3" s="53" t="s">
        <v>6</v>
      </c>
      <c r="G3" s="27" t="s">
        <v>2</v>
      </c>
      <c r="H3" s="56"/>
      <c r="J3" s="41"/>
      <c r="K3" s="41"/>
      <c r="L3" s="41"/>
    </row>
    <row r="4" spans="1:20" x14ac:dyDescent="0.2">
      <c r="A4" s="23" t="s">
        <v>98</v>
      </c>
      <c r="B4" s="16" t="s">
        <v>46</v>
      </c>
      <c r="C4" s="25">
        <v>510</v>
      </c>
      <c r="D4" s="25"/>
      <c r="E4" s="25"/>
      <c r="F4" s="25"/>
      <c r="G4" s="25">
        <f>C4+D4-E4-F4</f>
        <v>510</v>
      </c>
      <c r="H4" s="16" t="str">
        <f>IF(G4&lt;100,"LOW"," ")</f>
        <v xml:space="preserve"> </v>
      </c>
      <c r="J4" s="41"/>
      <c r="K4" s="41"/>
      <c r="L4" s="41"/>
    </row>
    <row r="5" spans="1:20" x14ac:dyDescent="0.2">
      <c r="A5" s="23" t="s">
        <v>99</v>
      </c>
      <c r="B5" s="16" t="s">
        <v>22</v>
      </c>
      <c r="C5" s="40">
        <v>-1720</v>
      </c>
      <c r="D5" s="25"/>
      <c r="E5" s="25"/>
      <c r="F5" s="25"/>
      <c r="G5" s="25">
        <f>C5+D5-E5-F5</f>
        <v>-1720</v>
      </c>
      <c r="H5" s="16" t="str">
        <f t="shared" ref="H5:H66" si="0">IF(G5&lt;100,"LOW"," ")</f>
        <v>LOW</v>
      </c>
      <c r="J5" s="41"/>
      <c r="L5" s="41"/>
    </row>
    <row r="6" spans="1:20" x14ac:dyDescent="0.2">
      <c r="A6" s="23" t="s">
        <v>100</v>
      </c>
      <c r="B6" s="16" t="s">
        <v>23</v>
      </c>
      <c r="C6" s="40">
        <v>-426</v>
      </c>
      <c r="D6" s="25"/>
      <c r="E6" s="25"/>
      <c r="F6" s="25"/>
      <c r="G6" s="25">
        <f t="shared" ref="G6:G15" si="1">C6+D6-E6-F6</f>
        <v>-426</v>
      </c>
      <c r="H6" s="16" t="str">
        <f t="shared" si="0"/>
        <v>LOW</v>
      </c>
      <c r="J6" s="41"/>
      <c r="K6" s="41" t="s">
        <v>78</v>
      </c>
      <c r="L6" s="41"/>
    </row>
    <row r="7" spans="1:20" x14ac:dyDescent="0.2">
      <c r="A7" s="23" t="s">
        <v>101</v>
      </c>
      <c r="B7" s="16" t="s">
        <v>24</v>
      </c>
      <c r="C7" s="40">
        <v>17</v>
      </c>
      <c r="D7" s="25"/>
      <c r="E7" s="25"/>
      <c r="F7" s="25"/>
      <c r="G7" s="25">
        <f t="shared" si="1"/>
        <v>17</v>
      </c>
      <c r="H7" s="16" t="str">
        <f t="shared" si="0"/>
        <v>LOW</v>
      </c>
      <c r="J7" s="41" t="s">
        <v>164</v>
      </c>
      <c r="K7" s="41"/>
      <c r="L7" s="41"/>
      <c r="Q7" s="50"/>
      <c r="R7" s="50"/>
      <c r="S7" s="50"/>
      <c r="T7" s="50"/>
    </row>
    <row r="8" spans="1:20" x14ac:dyDescent="0.2">
      <c r="A8" s="23" t="s">
        <v>102</v>
      </c>
      <c r="B8" s="16" t="s">
        <v>25</v>
      </c>
      <c r="C8" s="40">
        <v>454</v>
      </c>
      <c r="D8" s="25"/>
      <c r="E8" s="25"/>
      <c r="F8" s="25"/>
      <c r="G8" s="25">
        <f t="shared" si="1"/>
        <v>454</v>
      </c>
      <c r="H8" s="16" t="str">
        <f t="shared" si="0"/>
        <v xml:space="preserve"> </v>
      </c>
      <c r="J8" s="41"/>
      <c r="K8" s="41"/>
      <c r="L8" s="41"/>
    </row>
    <row r="9" spans="1:20" x14ac:dyDescent="0.2">
      <c r="A9" s="23" t="s">
        <v>103</v>
      </c>
      <c r="B9" s="16" t="s">
        <v>26</v>
      </c>
      <c r="C9" s="40">
        <v>234</v>
      </c>
      <c r="D9" s="25"/>
      <c r="E9" s="25"/>
      <c r="F9" s="25"/>
      <c r="G9" s="25">
        <f t="shared" si="1"/>
        <v>234</v>
      </c>
      <c r="H9" s="16" t="str">
        <f t="shared" si="0"/>
        <v xml:space="preserve"> </v>
      </c>
    </row>
    <row r="10" spans="1:20" x14ac:dyDescent="0.2">
      <c r="A10" s="23" t="s">
        <v>104</v>
      </c>
      <c r="B10" s="16" t="s">
        <v>27</v>
      </c>
      <c r="C10" s="25">
        <v>-74</v>
      </c>
      <c r="D10" s="25"/>
      <c r="E10" s="25"/>
      <c r="F10" s="25"/>
      <c r="G10" s="25">
        <f t="shared" si="1"/>
        <v>-74</v>
      </c>
      <c r="H10" s="16" t="str">
        <f t="shared" si="0"/>
        <v>LOW</v>
      </c>
      <c r="K10" t="s">
        <v>78</v>
      </c>
    </row>
    <row r="11" spans="1:20" x14ac:dyDescent="0.2">
      <c r="A11" s="23" t="s">
        <v>105</v>
      </c>
      <c r="B11" s="16" t="s">
        <v>28</v>
      </c>
      <c r="C11" s="25">
        <v>-2805</v>
      </c>
      <c r="D11" s="36"/>
      <c r="E11" s="25"/>
      <c r="F11" s="25"/>
      <c r="G11" s="25">
        <f t="shared" si="1"/>
        <v>-2805</v>
      </c>
      <c r="H11" s="16" t="str">
        <f t="shared" si="0"/>
        <v>LOW</v>
      </c>
    </row>
    <row r="12" spans="1:20" x14ac:dyDescent="0.2">
      <c r="A12" s="23" t="s">
        <v>106</v>
      </c>
      <c r="B12" s="16" t="s">
        <v>29</v>
      </c>
      <c r="C12" s="25">
        <v>18</v>
      </c>
      <c r="D12" s="25"/>
      <c r="E12" s="25"/>
      <c r="F12" s="25"/>
      <c r="G12" s="25">
        <f t="shared" si="1"/>
        <v>18</v>
      </c>
      <c r="H12" s="16" t="str">
        <f t="shared" si="0"/>
        <v>LOW</v>
      </c>
      <c r="J12" t="s">
        <v>165</v>
      </c>
    </row>
    <row r="13" spans="1:20" x14ac:dyDescent="0.2">
      <c r="A13" s="23" t="s">
        <v>107</v>
      </c>
      <c r="B13" s="16" t="s">
        <v>58</v>
      </c>
      <c r="C13" s="25">
        <v>-73</v>
      </c>
      <c r="D13" s="25"/>
      <c r="E13" s="25"/>
      <c r="F13" s="25"/>
      <c r="G13" s="25">
        <f t="shared" si="1"/>
        <v>-73</v>
      </c>
      <c r="H13" s="16" t="str">
        <f t="shared" si="0"/>
        <v>LOW</v>
      </c>
      <c r="S13" t="s">
        <v>78</v>
      </c>
    </row>
    <row r="14" spans="1:20" x14ac:dyDescent="0.2">
      <c r="A14" s="23" t="s">
        <v>108</v>
      </c>
      <c r="B14" s="16" t="s">
        <v>30</v>
      </c>
      <c r="C14" s="25">
        <v>0</v>
      </c>
      <c r="D14" s="25"/>
      <c r="E14" s="25"/>
      <c r="F14" s="25"/>
      <c r="G14" s="25">
        <f t="shared" si="1"/>
        <v>0</v>
      </c>
      <c r="H14" s="16" t="str">
        <f t="shared" si="0"/>
        <v>LOW</v>
      </c>
    </row>
    <row r="15" spans="1:20" x14ac:dyDescent="0.2">
      <c r="A15" s="23" t="s">
        <v>111</v>
      </c>
      <c r="B15" s="16" t="s">
        <v>75</v>
      </c>
      <c r="C15" s="29">
        <v>84</v>
      </c>
      <c r="D15" s="29"/>
      <c r="E15" s="29"/>
      <c r="F15" s="29"/>
      <c r="G15" s="29">
        <f t="shared" si="1"/>
        <v>84</v>
      </c>
      <c r="H15" s="16" t="str">
        <f t="shared" si="0"/>
        <v>LOW</v>
      </c>
    </row>
    <row r="16" spans="1:20" x14ac:dyDescent="0.2">
      <c r="A16" s="28" t="s">
        <v>132</v>
      </c>
      <c r="B16" s="27" t="s">
        <v>31</v>
      </c>
      <c r="C16" s="27" t="s">
        <v>2</v>
      </c>
      <c r="D16" s="52"/>
      <c r="E16" s="27"/>
      <c r="F16" s="53"/>
      <c r="G16" s="27" t="s">
        <v>2</v>
      </c>
      <c r="H16" s="56" t="str">
        <f t="shared" si="0"/>
        <v xml:space="preserve"> </v>
      </c>
      <c r="J16" t="s">
        <v>167</v>
      </c>
    </row>
    <row r="17" spans="1:10" x14ac:dyDescent="0.2">
      <c r="A17" s="23" t="s">
        <v>81</v>
      </c>
      <c r="B17" s="16" t="s">
        <v>32</v>
      </c>
      <c r="C17" s="25">
        <v>-384</v>
      </c>
      <c r="D17" s="25"/>
      <c r="E17" s="25"/>
      <c r="F17" s="25"/>
      <c r="G17" s="25">
        <f t="shared" ref="G17:G30" si="2">C17+D17-E17-F17</f>
        <v>-384</v>
      </c>
      <c r="H17" s="16" t="str">
        <f t="shared" si="0"/>
        <v>LOW</v>
      </c>
    </row>
    <row r="18" spans="1:10" x14ac:dyDescent="0.2">
      <c r="A18" s="23" t="s">
        <v>82</v>
      </c>
      <c r="B18" s="16" t="s">
        <v>33</v>
      </c>
      <c r="C18" s="25">
        <v>190</v>
      </c>
      <c r="D18" s="25"/>
      <c r="E18" s="25"/>
      <c r="F18" s="25"/>
      <c r="G18" s="25">
        <f t="shared" si="2"/>
        <v>190</v>
      </c>
      <c r="H18" s="16" t="str">
        <f t="shared" si="0"/>
        <v xml:space="preserve"> </v>
      </c>
    </row>
    <row r="19" spans="1:10" x14ac:dyDescent="0.2">
      <c r="A19" s="23" t="s">
        <v>83</v>
      </c>
      <c r="B19" s="16" t="s">
        <v>34</v>
      </c>
      <c r="C19" s="25">
        <v>-1914</v>
      </c>
      <c r="D19" s="25"/>
      <c r="E19" s="25"/>
      <c r="F19" s="25"/>
      <c r="G19" s="25">
        <f t="shared" si="2"/>
        <v>-1914</v>
      </c>
      <c r="H19" s="16" t="str">
        <f t="shared" si="0"/>
        <v>LOW</v>
      </c>
    </row>
    <row r="20" spans="1:10" x14ac:dyDescent="0.2">
      <c r="A20" s="23" t="s">
        <v>84</v>
      </c>
      <c r="B20" s="16" t="s">
        <v>35</v>
      </c>
      <c r="C20" s="25">
        <v>-18</v>
      </c>
      <c r="D20" s="25"/>
      <c r="E20" s="25"/>
      <c r="F20" s="25"/>
      <c r="G20" s="25">
        <f t="shared" si="2"/>
        <v>-18</v>
      </c>
      <c r="H20" s="16" t="str">
        <f t="shared" si="0"/>
        <v>LOW</v>
      </c>
    </row>
    <row r="21" spans="1:10" x14ac:dyDescent="0.2">
      <c r="A21" s="23" t="s">
        <v>85</v>
      </c>
      <c r="B21" s="16" t="s">
        <v>8</v>
      </c>
      <c r="C21" s="25">
        <v>-945</v>
      </c>
      <c r="D21" s="25"/>
      <c r="E21" s="25"/>
      <c r="F21" s="25"/>
      <c r="G21" s="25">
        <f t="shared" si="2"/>
        <v>-945</v>
      </c>
      <c r="H21" s="16" t="str">
        <f t="shared" si="0"/>
        <v>LOW</v>
      </c>
    </row>
    <row r="22" spans="1:10" x14ac:dyDescent="0.2">
      <c r="A22" s="23" t="s">
        <v>86</v>
      </c>
      <c r="B22" s="16" t="s">
        <v>9</v>
      </c>
      <c r="C22" s="25">
        <v>-712</v>
      </c>
      <c r="D22" s="25"/>
      <c r="E22" s="25"/>
      <c r="F22" s="25"/>
      <c r="G22" s="25">
        <f t="shared" si="2"/>
        <v>-712</v>
      </c>
      <c r="H22" s="16" t="str">
        <f t="shared" si="0"/>
        <v>LOW</v>
      </c>
    </row>
    <row r="23" spans="1:10" x14ac:dyDescent="0.2">
      <c r="A23" s="23" t="s">
        <v>87</v>
      </c>
      <c r="B23" s="16" t="s">
        <v>10</v>
      </c>
      <c r="C23" s="25">
        <v>-160</v>
      </c>
      <c r="D23" s="25"/>
      <c r="E23" s="25"/>
      <c r="F23" s="25"/>
      <c r="G23" s="25">
        <f t="shared" si="2"/>
        <v>-160</v>
      </c>
      <c r="H23" s="16" t="str">
        <f t="shared" si="0"/>
        <v>LOW</v>
      </c>
    </row>
    <row r="24" spans="1:10" x14ac:dyDescent="0.2">
      <c r="A24" s="23" t="s">
        <v>88</v>
      </c>
      <c r="B24" s="16" t="s">
        <v>36</v>
      </c>
      <c r="C24" s="25">
        <v>72</v>
      </c>
      <c r="D24" s="25"/>
      <c r="E24" s="25"/>
      <c r="F24" s="25"/>
      <c r="G24" s="25">
        <f t="shared" si="2"/>
        <v>72</v>
      </c>
      <c r="H24" s="16" t="str">
        <f t="shared" si="0"/>
        <v>LOW</v>
      </c>
    </row>
    <row r="25" spans="1:10" x14ac:dyDescent="0.2">
      <c r="A25" s="23" t="s">
        <v>89</v>
      </c>
      <c r="B25" s="16" t="s">
        <v>37</v>
      </c>
      <c r="C25" s="25">
        <v>-10</v>
      </c>
      <c r="D25" s="25"/>
      <c r="E25" s="25"/>
      <c r="F25" s="25"/>
      <c r="G25" s="25">
        <f t="shared" si="2"/>
        <v>-10</v>
      </c>
      <c r="H25" s="16" t="str">
        <f t="shared" si="0"/>
        <v>LOW</v>
      </c>
      <c r="J25" t="s">
        <v>168</v>
      </c>
    </row>
    <row r="26" spans="1:10" x14ac:dyDescent="0.2">
      <c r="A26" s="23" t="s">
        <v>97</v>
      </c>
      <c r="B26" s="16" t="s">
        <v>38</v>
      </c>
      <c r="C26" s="25">
        <v>31</v>
      </c>
      <c r="D26" s="25"/>
      <c r="E26" s="25"/>
      <c r="F26" s="25"/>
      <c r="G26" s="25">
        <f t="shared" si="2"/>
        <v>31</v>
      </c>
      <c r="H26" s="16" t="str">
        <f t="shared" si="0"/>
        <v>LOW</v>
      </c>
    </row>
    <row r="27" spans="1:10" x14ac:dyDescent="0.2">
      <c r="A27" s="23" t="s">
        <v>90</v>
      </c>
      <c r="B27" s="71" t="s">
        <v>39</v>
      </c>
      <c r="C27" s="25">
        <v>-194</v>
      </c>
      <c r="D27" s="25"/>
      <c r="E27" s="25"/>
      <c r="F27" s="25"/>
      <c r="G27" s="25">
        <f t="shared" si="2"/>
        <v>-194</v>
      </c>
      <c r="H27" s="16" t="str">
        <f t="shared" si="0"/>
        <v>LOW</v>
      </c>
    </row>
    <row r="28" spans="1:10" x14ac:dyDescent="0.2">
      <c r="A28" s="23" t="s">
        <v>91</v>
      </c>
      <c r="B28" s="71" t="s">
        <v>65</v>
      </c>
      <c r="C28" s="25">
        <v>-718</v>
      </c>
      <c r="D28" s="25"/>
      <c r="E28" s="25"/>
      <c r="F28" s="25"/>
      <c r="G28" s="25">
        <f t="shared" si="2"/>
        <v>-718</v>
      </c>
      <c r="H28" s="16" t="str">
        <f t="shared" si="0"/>
        <v>LOW</v>
      </c>
    </row>
    <row r="29" spans="1:10" x14ac:dyDescent="0.2">
      <c r="A29" s="23" t="s">
        <v>92</v>
      </c>
      <c r="B29" s="71" t="s">
        <v>43</v>
      </c>
      <c r="C29" s="25">
        <v>-156</v>
      </c>
      <c r="D29" s="25"/>
      <c r="E29" s="25"/>
      <c r="F29" s="25"/>
      <c r="G29" s="25">
        <f t="shared" si="2"/>
        <v>-156</v>
      </c>
      <c r="H29" s="16" t="str">
        <f t="shared" si="0"/>
        <v>LOW</v>
      </c>
    </row>
    <row r="30" spans="1:10" x14ac:dyDescent="0.2">
      <c r="A30" s="23" t="s">
        <v>193</v>
      </c>
      <c r="B30" s="71" t="s">
        <v>194</v>
      </c>
      <c r="C30" s="29">
        <v>-822</v>
      </c>
      <c r="D30" s="29"/>
      <c r="E30" s="29"/>
      <c r="F30" s="29"/>
      <c r="G30" s="25">
        <f t="shared" si="2"/>
        <v>-822</v>
      </c>
      <c r="H30" s="16" t="str">
        <f t="shared" si="0"/>
        <v>LOW</v>
      </c>
    </row>
    <row r="31" spans="1:10" x14ac:dyDescent="0.2">
      <c r="A31" s="28" t="s">
        <v>132</v>
      </c>
      <c r="B31" s="27" t="s">
        <v>40</v>
      </c>
      <c r="C31" s="27" t="s">
        <v>2</v>
      </c>
      <c r="D31" s="52"/>
      <c r="E31" s="27"/>
      <c r="F31" s="53"/>
      <c r="G31" s="27" t="s">
        <v>2</v>
      </c>
      <c r="H31" s="56" t="str">
        <f t="shared" si="0"/>
        <v xml:space="preserve"> </v>
      </c>
    </row>
    <row r="32" spans="1:10" x14ac:dyDescent="0.2">
      <c r="A32" s="23" t="s">
        <v>109</v>
      </c>
      <c r="B32" s="16" t="s">
        <v>7</v>
      </c>
      <c r="C32" s="25">
        <v>128</v>
      </c>
      <c r="D32" s="25"/>
      <c r="E32" s="25"/>
      <c r="F32" s="25"/>
      <c r="G32" s="25">
        <f t="shared" ref="G32:G37" si="3">C32+D32-E32-F32</f>
        <v>128</v>
      </c>
      <c r="H32" s="16" t="str">
        <f t="shared" si="0"/>
        <v xml:space="preserve"> </v>
      </c>
    </row>
    <row r="33" spans="1:8" x14ac:dyDescent="0.2">
      <c r="A33" s="23" t="s">
        <v>94</v>
      </c>
      <c r="B33" s="16" t="s">
        <v>8</v>
      </c>
      <c r="C33" s="25">
        <v>125</v>
      </c>
      <c r="D33" s="25"/>
      <c r="E33" s="25"/>
      <c r="F33" s="25"/>
      <c r="G33" s="25">
        <f t="shared" si="3"/>
        <v>125</v>
      </c>
      <c r="H33" s="16" t="str">
        <f t="shared" si="0"/>
        <v xml:space="preserve"> </v>
      </c>
    </row>
    <row r="34" spans="1:8" x14ac:dyDescent="0.2">
      <c r="A34" s="23" t="s">
        <v>110</v>
      </c>
      <c r="B34" s="16" t="s">
        <v>9</v>
      </c>
      <c r="C34" s="25">
        <v>240</v>
      </c>
      <c r="D34" s="25"/>
      <c r="E34" s="25"/>
      <c r="F34" s="25"/>
      <c r="G34" s="25">
        <f t="shared" si="3"/>
        <v>240</v>
      </c>
      <c r="H34" s="16" t="str">
        <f t="shared" si="0"/>
        <v xml:space="preserve"> </v>
      </c>
    </row>
    <row r="35" spans="1:8" x14ac:dyDescent="0.2">
      <c r="A35" s="23" t="s">
        <v>95</v>
      </c>
      <c r="B35" s="16" t="s">
        <v>10</v>
      </c>
      <c r="C35" s="25">
        <v>440</v>
      </c>
      <c r="D35" s="25"/>
      <c r="E35" s="25"/>
      <c r="F35" s="25"/>
      <c r="G35" s="25">
        <f t="shared" si="3"/>
        <v>440</v>
      </c>
      <c r="H35" s="16" t="str">
        <f t="shared" si="0"/>
        <v xml:space="preserve"> </v>
      </c>
    </row>
    <row r="36" spans="1:8" x14ac:dyDescent="0.2">
      <c r="A36" s="23" t="s">
        <v>96</v>
      </c>
      <c r="B36" s="16" t="s">
        <v>37</v>
      </c>
      <c r="C36" s="25">
        <v>0</v>
      </c>
      <c r="D36" s="25"/>
      <c r="E36" s="25"/>
      <c r="F36" s="25"/>
      <c r="G36" s="25">
        <f t="shared" si="3"/>
        <v>0</v>
      </c>
      <c r="H36" s="16" t="str">
        <f t="shared" si="0"/>
        <v>LOW</v>
      </c>
    </row>
    <row r="37" spans="1:8" x14ac:dyDescent="0.2">
      <c r="A37" s="23" t="s">
        <v>197</v>
      </c>
      <c r="B37" s="16" t="s">
        <v>196</v>
      </c>
      <c r="C37" s="25">
        <v>100</v>
      </c>
      <c r="D37" s="29"/>
      <c r="E37" s="29"/>
      <c r="F37" s="29"/>
      <c r="G37" s="25">
        <f t="shared" si="3"/>
        <v>100</v>
      </c>
      <c r="H37" s="16" t="str">
        <f t="shared" si="0"/>
        <v xml:space="preserve"> </v>
      </c>
    </row>
    <row r="38" spans="1:8" x14ac:dyDescent="0.2">
      <c r="A38" s="23" t="s">
        <v>132</v>
      </c>
      <c r="B38" s="27" t="s">
        <v>44</v>
      </c>
      <c r="C38" s="27" t="s">
        <v>2</v>
      </c>
      <c r="D38" s="52"/>
      <c r="E38" s="27"/>
      <c r="F38" s="53"/>
      <c r="G38" s="27" t="s">
        <v>2</v>
      </c>
      <c r="H38" s="56"/>
    </row>
    <row r="39" spans="1:8" x14ac:dyDescent="0.2">
      <c r="A39" s="23" t="s">
        <v>112</v>
      </c>
      <c r="B39" s="16" t="s">
        <v>7</v>
      </c>
      <c r="C39" s="25">
        <v>164</v>
      </c>
      <c r="D39" s="25"/>
      <c r="E39" s="25"/>
      <c r="F39" s="25"/>
      <c r="G39" s="25">
        <f>C39+D39-E39-F39</f>
        <v>164</v>
      </c>
      <c r="H39" s="16" t="str">
        <f t="shared" si="0"/>
        <v xml:space="preserve"> </v>
      </c>
    </row>
    <row r="40" spans="1:8" x14ac:dyDescent="0.2">
      <c r="A40" s="23" t="s">
        <v>113</v>
      </c>
      <c r="B40" s="16" t="s">
        <v>8</v>
      </c>
      <c r="C40" s="25">
        <v>355</v>
      </c>
      <c r="D40" s="25"/>
      <c r="E40" s="25"/>
      <c r="F40" s="25"/>
      <c r="G40" s="25">
        <f>C40+D40-E40-F40</f>
        <v>355</v>
      </c>
      <c r="H40" s="16" t="str">
        <f t="shared" si="0"/>
        <v xml:space="preserve"> </v>
      </c>
    </row>
    <row r="41" spans="1:8" x14ac:dyDescent="0.2">
      <c r="A41" s="23" t="s">
        <v>114</v>
      </c>
      <c r="B41" s="16" t="s">
        <v>9</v>
      </c>
      <c r="C41" s="25">
        <v>229</v>
      </c>
      <c r="D41" s="25"/>
      <c r="E41" s="25"/>
      <c r="F41" s="25"/>
      <c r="G41" s="25">
        <f>C41+D41-E41-F41</f>
        <v>229</v>
      </c>
      <c r="H41" s="16" t="str">
        <f t="shared" si="0"/>
        <v xml:space="preserve"> </v>
      </c>
    </row>
    <row r="42" spans="1:8" x14ac:dyDescent="0.2">
      <c r="A42" s="23" t="s">
        <v>115</v>
      </c>
      <c r="B42" s="16" t="s">
        <v>10</v>
      </c>
      <c r="C42" s="25">
        <v>245</v>
      </c>
      <c r="D42" s="25"/>
      <c r="E42" s="25"/>
      <c r="F42" s="25"/>
      <c r="G42" s="25">
        <f>C42+D42-E42-F42</f>
        <v>245</v>
      </c>
      <c r="H42" s="16" t="str">
        <f t="shared" si="0"/>
        <v xml:space="preserve"> </v>
      </c>
    </row>
    <row r="43" spans="1:8" x14ac:dyDescent="0.2">
      <c r="A43" s="23">
        <v>26</v>
      </c>
      <c r="B43" s="58">
        <v>26</v>
      </c>
      <c r="C43" s="25">
        <v>480</v>
      </c>
      <c r="D43" s="25"/>
      <c r="E43" s="25"/>
      <c r="F43" s="25"/>
      <c r="G43" s="25">
        <f>C43+D43-E43-F43</f>
        <v>480</v>
      </c>
      <c r="H43" s="16" t="str">
        <f t="shared" si="0"/>
        <v xml:space="preserve"> </v>
      </c>
    </row>
    <row r="44" spans="1:8" x14ac:dyDescent="0.2">
      <c r="A44" s="23" t="s">
        <v>132</v>
      </c>
      <c r="B44" s="27" t="s">
        <v>57</v>
      </c>
      <c r="C44" s="27" t="s">
        <v>2</v>
      </c>
      <c r="D44" s="52"/>
      <c r="E44" s="27"/>
      <c r="F44" s="53"/>
      <c r="G44" s="27" t="s">
        <v>2</v>
      </c>
      <c r="H44" s="56"/>
    </row>
    <row r="45" spans="1:8" x14ac:dyDescent="0.2">
      <c r="A45" s="23" t="s">
        <v>116</v>
      </c>
      <c r="B45" s="16" t="s">
        <v>59</v>
      </c>
      <c r="C45" s="25">
        <v>-2356</v>
      </c>
      <c r="D45" s="25"/>
      <c r="E45" s="25"/>
      <c r="F45" s="25"/>
      <c r="G45" s="25">
        <f t="shared" ref="G45:G48" si="4">C45+D45-E45-F45</f>
        <v>-2356</v>
      </c>
      <c r="H45" s="16" t="str">
        <f t="shared" si="0"/>
        <v>LOW</v>
      </c>
    </row>
    <row r="46" spans="1:8" x14ac:dyDescent="0.2">
      <c r="A46" s="23" t="s">
        <v>118</v>
      </c>
      <c r="B46" s="16" t="s">
        <v>67</v>
      </c>
      <c r="C46" s="25">
        <v>-204</v>
      </c>
      <c r="D46" s="25"/>
      <c r="E46" s="25"/>
      <c r="F46" s="25"/>
      <c r="G46" s="25">
        <f t="shared" si="4"/>
        <v>-204</v>
      </c>
      <c r="H46" s="16" t="str">
        <f t="shared" si="0"/>
        <v>LOW</v>
      </c>
    </row>
    <row r="47" spans="1:8" x14ac:dyDescent="0.2">
      <c r="A47" s="23" t="s">
        <v>119</v>
      </c>
      <c r="B47" s="16" t="s">
        <v>76</v>
      </c>
      <c r="C47" s="29">
        <v>334</v>
      </c>
      <c r="D47" s="29"/>
      <c r="E47" s="29"/>
      <c r="F47" s="29"/>
      <c r="G47" s="25">
        <f t="shared" si="4"/>
        <v>334</v>
      </c>
      <c r="H47" s="16" t="str">
        <f t="shared" si="0"/>
        <v xml:space="preserve"> </v>
      </c>
    </row>
    <row r="48" spans="1:8" x14ac:dyDescent="0.2">
      <c r="A48" s="23" t="s">
        <v>117</v>
      </c>
      <c r="B48" s="16" t="s">
        <v>77</v>
      </c>
      <c r="C48" s="29">
        <v>248</v>
      </c>
      <c r="D48" s="29"/>
      <c r="E48" s="29"/>
      <c r="F48" s="29"/>
      <c r="G48" s="25">
        <f t="shared" si="4"/>
        <v>248</v>
      </c>
      <c r="H48" s="16" t="str">
        <f t="shared" si="0"/>
        <v xml:space="preserve"> </v>
      </c>
    </row>
    <row r="49" spans="1:8" x14ac:dyDescent="0.2">
      <c r="A49" s="23" t="s">
        <v>120</v>
      </c>
      <c r="B49" s="16" t="s">
        <v>60</v>
      </c>
      <c r="C49" s="25">
        <v>-2204</v>
      </c>
      <c r="D49" s="25"/>
      <c r="E49" s="25"/>
      <c r="F49" s="25"/>
      <c r="G49" s="25">
        <f t="shared" ref="G49:G56" si="5">C49+D49-E49-F49</f>
        <v>-2204</v>
      </c>
      <c r="H49" s="16" t="str">
        <f t="shared" si="0"/>
        <v>LOW</v>
      </c>
    </row>
    <row r="50" spans="1:8" x14ac:dyDescent="0.2">
      <c r="A50" s="23" t="s">
        <v>121</v>
      </c>
      <c r="B50" s="16" t="s">
        <v>62</v>
      </c>
      <c r="C50" s="25">
        <v>-444</v>
      </c>
      <c r="D50" s="25"/>
      <c r="E50" s="25"/>
      <c r="F50" s="25"/>
      <c r="G50" s="25">
        <f t="shared" si="5"/>
        <v>-444</v>
      </c>
      <c r="H50" s="16" t="str">
        <f t="shared" si="0"/>
        <v>LOW</v>
      </c>
    </row>
    <row r="51" spans="1:8" x14ac:dyDescent="0.2">
      <c r="A51" s="23" t="s">
        <v>122</v>
      </c>
      <c r="B51" s="16" t="s">
        <v>48</v>
      </c>
      <c r="C51" s="25">
        <v>-697</v>
      </c>
      <c r="D51" s="25"/>
      <c r="E51" s="25"/>
      <c r="F51" s="25"/>
      <c r="G51" s="25">
        <f t="shared" si="5"/>
        <v>-697</v>
      </c>
      <c r="H51" s="16" t="str">
        <f t="shared" si="0"/>
        <v>LOW</v>
      </c>
    </row>
    <row r="52" spans="1:8" x14ac:dyDescent="0.2">
      <c r="A52" s="23" t="s">
        <v>123</v>
      </c>
      <c r="B52" s="16" t="s">
        <v>63</v>
      </c>
      <c r="C52" s="25">
        <v>34</v>
      </c>
      <c r="D52" s="25"/>
      <c r="E52" s="25"/>
      <c r="F52" s="25"/>
      <c r="G52" s="25">
        <f t="shared" si="5"/>
        <v>34</v>
      </c>
      <c r="H52" s="16" t="str">
        <f t="shared" si="0"/>
        <v>LOW</v>
      </c>
    </row>
    <row r="53" spans="1:8" x14ac:dyDescent="0.2">
      <c r="A53" s="23" t="s">
        <v>124</v>
      </c>
      <c r="B53" s="16" t="s">
        <v>64</v>
      </c>
      <c r="C53" s="25">
        <v>-260</v>
      </c>
      <c r="D53" s="25"/>
      <c r="E53" s="25"/>
      <c r="F53" s="25"/>
      <c r="G53" s="25">
        <f t="shared" si="5"/>
        <v>-260</v>
      </c>
      <c r="H53" s="16" t="str">
        <f t="shared" si="0"/>
        <v>LOW</v>
      </c>
    </row>
    <row r="54" spans="1:8" x14ac:dyDescent="0.2">
      <c r="A54" s="23" t="s">
        <v>125</v>
      </c>
      <c r="B54" s="16" t="s">
        <v>49</v>
      </c>
      <c r="C54" s="25">
        <v>-541</v>
      </c>
      <c r="D54" s="25"/>
      <c r="E54" s="25"/>
      <c r="F54" s="25"/>
      <c r="G54" s="25">
        <f t="shared" si="5"/>
        <v>-541</v>
      </c>
      <c r="H54" s="16" t="str">
        <f t="shared" si="0"/>
        <v>LOW</v>
      </c>
    </row>
    <row r="55" spans="1:8" x14ac:dyDescent="0.2">
      <c r="A55" s="23" t="s">
        <v>126</v>
      </c>
      <c r="B55" s="16" t="s">
        <v>52</v>
      </c>
      <c r="C55" s="25">
        <v>-45</v>
      </c>
      <c r="D55" s="25"/>
      <c r="E55" s="25"/>
      <c r="F55" s="25"/>
      <c r="G55" s="25">
        <f t="shared" si="5"/>
        <v>-45</v>
      </c>
      <c r="H55" s="16" t="str">
        <f t="shared" si="0"/>
        <v>LOW</v>
      </c>
    </row>
    <row r="56" spans="1:8" x14ac:dyDescent="0.2">
      <c r="A56" s="23" t="s">
        <v>127</v>
      </c>
      <c r="B56" s="16" t="s">
        <v>50</v>
      </c>
      <c r="C56" s="25">
        <v>-168</v>
      </c>
      <c r="D56" s="25"/>
      <c r="E56" s="25"/>
      <c r="F56" s="25"/>
      <c r="G56" s="25">
        <f t="shared" si="5"/>
        <v>-168</v>
      </c>
      <c r="H56" s="16" t="str">
        <f t="shared" si="0"/>
        <v>LOW</v>
      </c>
    </row>
    <row r="57" spans="1:8" x14ac:dyDescent="0.2">
      <c r="A57" s="28" t="s">
        <v>132</v>
      </c>
      <c r="B57" s="27" t="s">
        <v>41</v>
      </c>
      <c r="C57" s="27" t="s">
        <v>2</v>
      </c>
      <c r="D57" s="52"/>
      <c r="E57" s="27"/>
      <c r="F57" s="53"/>
      <c r="G57" s="27" t="s">
        <v>2</v>
      </c>
      <c r="H57" s="56"/>
    </row>
    <row r="58" spans="1:8" x14ac:dyDescent="0.2">
      <c r="A58" s="23" t="s">
        <v>128</v>
      </c>
      <c r="B58" s="16" t="s">
        <v>7</v>
      </c>
      <c r="C58" s="25">
        <v>60</v>
      </c>
      <c r="D58" s="25"/>
      <c r="E58" s="25"/>
      <c r="F58" s="25"/>
      <c r="G58" s="25">
        <f>C58+D58-E58-F58</f>
        <v>60</v>
      </c>
      <c r="H58" s="16" t="str">
        <f t="shared" si="0"/>
        <v>LOW</v>
      </c>
    </row>
    <row r="59" spans="1:8" x14ac:dyDescent="0.2">
      <c r="A59" s="23" t="s">
        <v>129</v>
      </c>
      <c r="B59" s="16" t="s">
        <v>8</v>
      </c>
      <c r="C59" s="25">
        <v>394</v>
      </c>
      <c r="D59" s="25"/>
      <c r="E59" s="25"/>
      <c r="F59" s="25"/>
      <c r="G59" s="25">
        <f>C59+D59-E59-F59</f>
        <v>394</v>
      </c>
      <c r="H59" s="16" t="str">
        <f t="shared" si="0"/>
        <v xml:space="preserve"> </v>
      </c>
    </row>
    <row r="60" spans="1:8" x14ac:dyDescent="0.2">
      <c r="A60" s="23" t="s">
        <v>130</v>
      </c>
      <c r="B60" s="16" t="s">
        <v>9</v>
      </c>
      <c r="C60" s="25">
        <v>320</v>
      </c>
      <c r="D60" s="25"/>
      <c r="E60" s="25"/>
      <c r="F60" s="25"/>
      <c r="G60" s="25">
        <f>C60+D60-E60-F60</f>
        <v>320</v>
      </c>
      <c r="H60" s="16" t="str">
        <f t="shared" si="0"/>
        <v xml:space="preserve"> </v>
      </c>
    </row>
    <row r="61" spans="1:8" x14ac:dyDescent="0.2">
      <c r="A61" s="23" t="s">
        <v>131</v>
      </c>
      <c r="B61" s="16" t="s">
        <v>10</v>
      </c>
      <c r="C61" s="25">
        <v>234</v>
      </c>
      <c r="D61" s="25"/>
      <c r="E61" s="25"/>
      <c r="F61" s="25"/>
      <c r="G61" s="25">
        <f>C61+D61-E61-F61</f>
        <v>234</v>
      </c>
      <c r="H61" s="16" t="str">
        <f t="shared" si="0"/>
        <v xml:space="preserve"> </v>
      </c>
    </row>
    <row r="62" spans="1:8" x14ac:dyDescent="0.2">
      <c r="A62" s="28" t="s">
        <v>132</v>
      </c>
      <c r="B62" s="27" t="s">
        <v>183</v>
      </c>
      <c r="C62" s="27" t="s">
        <v>2</v>
      </c>
      <c r="D62" s="52"/>
      <c r="E62" s="27"/>
      <c r="F62" s="53"/>
      <c r="G62" s="27" t="s">
        <v>2</v>
      </c>
      <c r="H62" s="56"/>
    </row>
    <row r="63" spans="1:8" x14ac:dyDescent="0.2">
      <c r="A63" s="23" t="s">
        <v>184</v>
      </c>
      <c r="B63" s="16" t="s">
        <v>189</v>
      </c>
      <c r="C63" s="25">
        <v>-152</v>
      </c>
      <c r="D63" s="25"/>
      <c r="E63" s="25"/>
      <c r="F63" s="25"/>
      <c r="G63" s="25">
        <f>C63+D63-E63-F63</f>
        <v>-152</v>
      </c>
      <c r="H63" s="16" t="str">
        <f t="shared" si="0"/>
        <v>LOW</v>
      </c>
    </row>
    <row r="64" spans="1:8" x14ac:dyDescent="0.2">
      <c r="A64" s="23" t="s">
        <v>185</v>
      </c>
      <c r="B64" s="16" t="s">
        <v>191</v>
      </c>
      <c r="C64" s="25">
        <v>-72</v>
      </c>
      <c r="D64" s="25"/>
      <c r="E64" s="25"/>
      <c r="F64" s="25"/>
      <c r="G64" s="25">
        <f>C64+D64-E64-F64</f>
        <v>-72</v>
      </c>
      <c r="H64" s="16" t="str">
        <f t="shared" si="0"/>
        <v>LOW</v>
      </c>
    </row>
    <row r="65" spans="1:8" x14ac:dyDescent="0.2">
      <c r="A65" s="23" t="s">
        <v>186</v>
      </c>
      <c r="B65" s="16" t="s">
        <v>190</v>
      </c>
      <c r="C65" s="25">
        <v>202</v>
      </c>
      <c r="D65" s="25"/>
      <c r="E65" s="25"/>
      <c r="F65" s="25"/>
      <c r="G65" s="25">
        <f>C65+D65-E65-F65</f>
        <v>202</v>
      </c>
      <c r="H65" s="16" t="str">
        <f t="shared" si="0"/>
        <v xml:space="preserve"> </v>
      </c>
    </row>
    <row r="66" spans="1:8" x14ac:dyDescent="0.2">
      <c r="A66" s="23" t="s">
        <v>187</v>
      </c>
      <c r="B66" s="16" t="s">
        <v>192</v>
      </c>
      <c r="C66" s="25">
        <v>-122</v>
      </c>
      <c r="D66" s="25"/>
      <c r="E66" s="25"/>
      <c r="F66" s="25"/>
      <c r="G66" s="25">
        <f>C66+D66-E66-F66</f>
        <v>-122</v>
      </c>
      <c r="H66" s="16" t="str">
        <f t="shared" si="0"/>
        <v>LOW</v>
      </c>
    </row>
    <row r="67" spans="1:8" x14ac:dyDescent="0.2">
      <c r="A67" s="73" t="s">
        <v>132</v>
      </c>
      <c r="B67" s="72" t="s">
        <v>198</v>
      </c>
    </row>
    <row r="68" spans="1:8" x14ac:dyDescent="0.2">
      <c r="A68" s="23" t="s">
        <v>184</v>
      </c>
      <c r="B68" s="16"/>
      <c r="C68" s="25">
        <v>-276</v>
      </c>
      <c r="D68" s="25"/>
      <c r="E68" s="25"/>
      <c r="F68" s="25"/>
      <c r="G68" s="25">
        <f t="shared" ref="G68:G75" si="6">C68+D68-E68-F68</f>
        <v>-276</v>
      </c>
      <c r="H68" s="16" t="str">
        <f t="shared" ref="H68:H75" si="7">IF(G68&lt;100,"LOW"," ")</f>
        <v>LOW</v>
      </c>
    </row>
    <row r="69" spans="1:8" x14ac:dyDescent="0.2">
      <c r="A69" s="23" t="s">
        <v>185</v>
      </c>
      <c r="B69" s="16"/>
      <c r="C69" s="25">
        <v>-292</v>
      </c>
      <c r="D69" s="25"/>
      <c r="E69" s="25"/>
      <c r="F69" s="25"/>
      <c r="G69" s="25">
        <f t="shared" si="6"/>
        <v>-292</v>
      </c>
      <c r="H69" s="16" t="str">
        <f t="shared" si="7"/>
        <v>LOW</v>
      </c>
    </row>
    <row r="70" spans="1:8" x14ac:dyDescent="0.2">
      <c r="A70" s="23" t="s">
        <v>186</v>
      </c>
      <c r="B70" s="16"/>
      <c r="C70" s="25">
        <v>0</v>
      </c>
      <c r="D70" s="25"/>
      <c r="E70" s="25"/>
      <c r="F70" s="25"/>
      <c r="G70" s="25">
        <f t="shared" si="6"/>
        <v>0</v>
      </c>
      <c r="H70" s="16" t="str">
        <f t="shared" si="7"/>
        <v>LOW</v>
      </c>
    </row>
    <row r="71" spans="1:8" x14ac:dyDescent="0.2">
      <c r="A71" s="23" t="s">
        <v>187</v>
      </c>
      <c r="B71" s="16"/>
      <c r="C71" s="25">
        <v>-432</v>
      </c>
      <c r="D71" s="25"/>
      <c r="E71" s="25"/>
      <c r="F71" s="25"/>
      <c r="G71" s="25">
        <f t="shared" si="6"/>
        <v>-432</v>
      </c>
      <c r="H71" s="16" t="str">
        <f t="shared" si="7"/>
        <v>LOW</v>
      </c>
    </row>
    <row r="72" spans="1:8" x14ac:dyDescent="0.2">
      <c r="A72" s="23" t="s">
        <v>184</v>
      </c>
      <c r="B72" s="16"/>
      <c r="C72" s="25">
        <v>-276</v>
      </c>
      <c r="D72" s="25"/>
      <c r="E72" s="25"/>
      <c r="F72" s="25"/>
      <c r="G72" s="25">
        <f t="shared" si="6"/>
        <v>-276</v>
      </c>
      <c r="H72" s="16" t="str">
        <f t="shared" si="7"/>
        <v>LOW</v>
      </c>
    </row>
    <row r="73" spans="1:8" x14ac:dyDescent="0.2">
      <c r="A73" s="23" t="s">
        <v>185</v>
      </c>
      <c r="B73" s="16"/>
      <c r="C73" s="25">
        <v>-292</v>
      </c>
      <c r="D73" s="25"/>
      <c r="E73" s="25"/>
      <c r="F73" s="25"/>
      <c r="G73" s="25">
        <f t="shared" si="6"/>
        <v>-292</v>
      </c>
      <c r="H73" s="16" t="str">
        <f t="shared" si="7"/>
        <v>LOW</v>
      </c>
    </row>
    <row r="74" spans="1:8" x14ac:dyDescent="0.2">
      <c r="A74" s="23" t="s">
        <v>186</v>
      </c>
      <c r="B74" s="16"/>
      <c r="C74" s="25">
        <v>0</v>
      </c>
      <c r="D74" s="25"/>
      <c r="E74" s="25"/>
      <c r="F74" s="25"/>
      <c r="G74" s="25">
        <f t="shared" si="6"/>
        <v>0</v>
      </c>
      <c r="H74" s="16" t="str">
        <f t="shared" si="7"/>
        <v>LOW</v>
      </c>
    </row>
    <row r="75" spans="1:8" x14ac:dyDescent="0.2">
      <c r="A75" s="23" t="s">
        <v>187</v>
      </c>
      <c r="B75" s="16"/>
      <c r="C75" s="25">
        <v>-432</v>
      </c>
      <c r="D75" s="25"/>
      <c r="E75" s="25"/>
      <c r="F75" s="25"/>
      <c r="G75" s="25">
        <f t="shared" si="6"/>
        <v>-432</v>
      </c>
      <c r="H75" s="16" t="str">
        <f t="shared" si="7"/>
        <v>LOW</v>
      </c>
    </row>
    <row r="79" spans="1:8" x14ac:dyDescent="0.2">
      <c r="C79"/>
      <c r="D79"/>
      <c r="E79"/>
      <c r="F79"/>
    </row>
  </sheetData>
  <phoneticPr fontId="12" type="noConversion"/>
  <pageMargins left="0.39370078740157483" right="0.39370078740157483" top="0.19685039370078741" bottom="0.19685039370078741" header="0.31496062992125984" footer="0.31496062992125984"/>
  <pageSetup paperSize="5" scale="8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OPY_Sticker">
                <anchor moveWithCells="1" sizeWithCells="1">
                  <from>
                    <xdr:col>11</xdr:col>
                    <xdr:colOff>219075</xdr:colOff>
                    <xdr:row>13</xdr:row>
                    <xdr:rowOff>247650</xdr:rowOff>
                  </from>
                  <to>
                    <xdr:col>15</xdr:col>
                    <xdr:colOff>581025</xdr:colOff>
                    <xdr:row>17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learStockSticker">
                <anchor moveWithCells="1" sizeWithCells="1">
                  <from>
                    <xdr:col>11</xdr:col>
                    <xdr:colOff>190500</xdr:colOff>
                    <xdr:row>20</xdr:row>
                    <xdr:rowOff>314325</xdr:rowOff>
                  </from>
                  <to>
                    <xdr:col>15</xdr:col>
                    <xdr:colOff>847725</xdr:colOff>
                    <xdr:row>26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updateSTICKERS">
                <anchor moveWithCells="1" sizeWithCells="1">
                  <from>
                    <xdr:col>11</xdr:col>
                    <xdr:colOff>9525</xdr:colOff>
                    <xdr:row>5</xdr:row>
                    <xdr:rowOff>133350</xdr:rowOff>
                  </from>
                  <to>
                    <xdr:col>15</xdr:col>
                    <xdr:colOff>314325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Button11_Click">
                <anchor moveWithCells="1" sizeWithCells="1">
                  <from>
                    <xdr:col>12</xdr:col>
                    <xdr:colOff>38100</xdr:colOff>
                    <xdr:row>11</xdr:row>
                    <xdr:rowOff>95250</xdr:rowOff>
                  </from>
                  <to>
                    <xdr:col>15</xdr:col>
                    <xdr:colOff>57150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S83"/>
  <sheetViews>
    <sheetView topLeftCell="A57" zoomScale="80" zoomScaleNormal="80" workbookViewId="0">
      <selection sqref="A1:H80"/>
    </sheetView>
  </sheetViews>
  <sheetFormatPr defaultColWidth="9.14453125" defaultRowHeight="15" x14ac:dyDescent="0.2"/>
  <cols>
    <col min="1" max="1" width="19.7734375" style="1" customWidth="1"/>
    <col min="2" max="2" width="60.12890625" style="1" bestFit="1" customWidth="1"/>
    <col min="3" max="3" width="10.625" style="1" customWidth="1"/>
    <col min="4" max="4" width="11.296875" style="7" customWidth="1"/>
    <col min="5" max="5" width="11.1640625" style="7" bestFit="1" customWidth="1"/>
    <col min="6" max="6" width="8.875" style="7" customWidth="1"/>
    <col min="7" max="7" width="9.01171875" style="1" customWidth="1"/>
    <col min="8" max="8" width="6.1875" customWidth="1"/>
    <col min="9" max="16384" width="9.14453125" style="1"/>
  </cols>
  <sheetData>
    <row r="1" spans="1:19" x14ac:dyDescent="0.2">
      <c r="A1" s="121" t="e" cm="1">
        <f t="array" aca="1" ref="A1" ca="1">+A1:H75TODAY()</f>
        <v>#NAME?</v>
      </c>
      <c r="B1" s="122"/>
      <c r="C1" s="122"/>
      <c r="D1" s="122"/>
      <c r="E1" s="122"/>
      <c r="F1" s="122"/>
      <c r="G1" s="122"/>
      <c r="H1" s="16"/>
    </row>
    <row r="2" spans="1:19" x14ac:dyDescent="0.2">
      <c r="A2" s="91"/>
      <c r="B2" s="16"/>
      <c r="C2" s="16"/>
      <c r="D2" s="33">
        <f ca="1">TODAY()</f>
        <v>46231</v>
      </c>
      <c r="E2" s="33">
        <f ca="1">TODAY()-1</f>
        <v>46230</v>
      </c>
      <c r="F2" s="29"/>
      <c r="G2" s="21"/>
      <c r="H2" s="16"/>
    </row>
    <row r="3" spans="1:19" x14ac:dyDescent="0.2">
      <c r="A3" s="92"/>
      <c r="B3" s="4" t="s">
        <v>173</v>
      </c>
      <c r="C3" s="37" t="s">
        <v>2</v>
      </c>
      <c r="D3" s="4" t="s">
        <v>5</v>
      </c>
      <c r="E3" s="53" t="s">
        <v>6</v>
      </c>
      <c r="F3" s="54" t="s">
        <v>1</v>
      </c>
      <c r="G3" s="4" t="s">
        <v>2</v>
      </c>
      <c r="H3" s="56"/>
      <c r="M3" s="1" t="s">
        <v>169</v>
      </c>
      <c r="O3" s="1" t="s">
        <v>188</v>
      </c>
      <c r="Q3" s="1" t="s">
        <v>149</v>
      </c>
    </row>
    <row r="4" spans="1:19" x14ac:dyDescent="0.2">
      <c r="A4" s="93" t="s">
        <v>174</v>
      </c>
      <c r="B4" s="59" t="s">
        <v>335</v>
      </c>
      <c r="C4" s="18">
        <v>237</v>
      </c>
      <c r="D4" s="18">
        <v>53</v>
      </c>
      <c r="E4" s="18"/>
      <c r="F4" s="18"/>
      <c r="G4" s="18">
        <f>C4+D4+E4-F4</f>
        <v>290</v>
      </c>
      <c r="H4" s="16" t="str">
        <f>IF(G4&lt;100,"LOW"," ")</f>
        <v xml:space="preserve"> </v>
      </c>
      <c r="J4" s="1" t="s">
        <v>78</v>
      </c>
      <c r="M4" s="1" t="s">
        <v>178</v>
      </c>
      <c r="O4" s="1" t="s">
        <v>184</v>
      </c>
      <c r="Q4" s="1" t="s">
        <v>181</v>
      </c>
    </row>
    <row r="5" spans="1:19" x14ac:dyDescent="0.2">
      <c r="A5" s="93" t="s">
        <v>174</v>
      </c>
      <c r="B5" s="59" t="s">
        <v>449</v>
      </c>
      <c r="C5" s="18">
        <v>3</v>
      </c>
      <c r="D5" s="18"/>
      <c r="E5" s="18"/>
      <c r="F5" s="18"/>
      <c r="G5" s="18">
        <f>C5+D5+E5-F5</f>
        <v>3</v>
      </c>
      <c r="H5" s="16" t="str">
        <f>IF(G5&lt;100,"LOW"," ")</f>
        <v>LOW</v>
      </c>
      <c r="J5" s="1" t="s">
        <v>78</v>
      </c>
      <c r="M5" s="1" t="s">
        <v>178</v>
      </c>
      <c r="O5" s="1" t="s">
        <v>184</v>
      </c>
      <c r="Q5" s="1" t="s">
        <v>181</v>
      </c>
    </row>
    <row r="6" spans="1:19" x14ac:dyDescent="0.2">
      <c r="A6" s="93" t="s">
        <v>175</v>
      </c>
      <c r="B6" s="59" t="s">
        <v>334</v>
      </c>
      <c r="C6" s="18">
        <v>115</v>
      </c>
      <c r="D6" s="18"/>
      <c r="E6" s="18"/>
      <c r="F6" s="18"/>
      <c r="G6" s="18">
        <f>C6+D6+E6-F6</f>
        <v>115</v>
      </c>
      <c r="H6" s="16" t="str">
        <f>IF(G6&lt;100,"LOW"," ")</f>
        <v xml:space="preserve"> </v>
      </c>
      <c r="I6" s="1" t="s">
        <v>78</v>
      </c>
      <c r="M6" s="1" t="s">
        <v>178</v>
      </c>
      <c r="O6" s="1" t="s">
        <v>185</v>
      </c>
      <c r="Q6" s="1" t="s">
        <v>181</v>
      </c>
    </row>
    <row r="7" spans="1:19" x14ac:dyDescent="0.2">
      <c r="A7" s="93" t="s">
        <v>256</v>
      </c>
      <c r="B7" s="71" t="s">
        <v>336</v>
      </c>
      <c r="C7" s="18">
        <v>82</v>
      </c>
      <c r="D7" s="18"/>
      <c r="E7" s="18">
        <v>6</v>
      </c>
      <c r="F7" s="18"/>
      <c r="G7" s="18">
        <f>C7+D7+E7-F7</f>
        <v>88</v>
      </c>
      <c r="H7" s="16" t="str">
        <f>IF(G7&lt;100,"LOW"," ")</f>
        <v>LOW</v>
      </c>
      <c r="M7" s="1" t="s">
        <v>178</v>
      </c>
      <c r="O7" s="1" t="s">
        <v>186</v>
      </c>
      <c r="Q7" s="1" t="s">
        <v>181</v>
      </c>
    </row>
    <row r="8" spans="1:19" x14ac:dyDescent="0.2">
      <c r="A8" s="93" t="s">
        <v>176</v>
      </c>
      <c r="B8" s="59" t="s">
        <v>337</v>
      </c>
      <c r="C8" s="38">
        <v>163</v>
      </c>
      <c r="D8" s="18"/>
      <c r="E8" s="18"/>
      <c r="F8" s="18"/>
      <c r="G8" s="18">
        <f>C8+D8+E8-F8</f>
        <v>163</v>
      </c>
      <c r="H8" s="16" t="str">
        <f>IF(G8&lt;100,"LOW"," ")</f>
        <v xml:space="preserve"> </v>
      </c>
      <c r="M8" s="1" t="s">
        <v>179</v>
      </c>
      <c r="O8" s="1" t="s">
        <v>187</v>
      </c>
      <c r="Q8" s="1" t="s">
        <v>182</v>
      </c>
    </row>
    <row r="9" spans="1:19" x14ac:dyDescent="0.2">
      <c r="A9" s="94"/>
      <c r="B9" s="39" t="s">
        <v>70</v>
      </c>
      <c r="C9" s="37" t="s">
        <v>2</v>
      </c>
      <c r="D9" s="4"/>
      <c r="E9" s="53"/>
      <c r="F9" s="54"/>
      <c r="G9" s="37" t="s">
        <v>2</v>
      </c>
      <c r="H9" s="56"/>
      <c r="K9" s="1" t="s">
        <v>78</v>
      </c>
      <c r="M9" s="1" t="s">
        <v>93</v>
      </c>
      <c r="O9" s="1" t="s">
        <v>93</v>
      </c>
      <c r="Q9" s="1" t="s">
        <v>93</v>
      </c>
    </row>
    <row r="10" spans="1:19" x14ac:dyDescent="0.2">
      <c r="A10" s="23" t="s">
        <v>426</v>
      </c>
      <c r="B10" s="118" t="s">
        <v>427</v>
      </c>
      <c r="C10" s="17">
        <v>38</v>
      </c>
      <c r="D10" s="17"/>
      <c r="E10" s="17"/>
      <c r="F10" s="17"/>
      <c r="G10" s="17">
        <f t="shared" ref="G10:G32" si="0">C10+D10+E10-F10</f>
        <v>38</v>
      </c>
      <c r="H10" s="16" t="str">
        <f t="shared" ref="H10:H32" si="1">IF(G10&lt;100,"LOW"," ")</f>
        <v>LOW</v>
      </c>
      <c r="J10" s="1" t="s">
        <v>164</v>
      </c>
      <c r="M10" s="1" t="s">
        <v>170</v>
      </c>
      <c r="O10" s="1" t="s">
        <v>93</v>
      </c>
      <c r="Q10" s="1" t="s">
        <v>156</v>
      </c>
    </row>
    <row r="11" spans="1:19" x14ac:dyDescent="0.2">
      <c r="A11" s="93" t="s">
        <v>455</v>
      </c>
      <c r="B11" s="60" t="s">
        <v>456</v>
      </c>
      <c r="C11" s="18">
        <v>2</v>
      </c>
      <c r="D11" s="18"/>
      <c r="E11" s="18"/>
      <c r="F11" s="18"/>
      <c r="G11" s="18">
        <f t="shared" si="0"/>
        <v>2</v>
      </c>
      <c r="H11" s="16" t="str">
        <f t="shared" si="1"/>
        <v>LOW</v>
      </c>
      <c r="M11" s="1" t="s">
        <v>93</v>
      </c>
      <c r="O11" s="1" t="s">
        <v>93</v>
      </c>
      <c r="Q11" s="1" t="s">
        <v>93</v>
      </c>
    </row>
    <row r="12" spans="1:19" x14ac:dyDescent="0.2">
      <c r="A12" s="95" t="s">
        <v>199</v>
      </c>
      <c r="B12" s="59" t="s">
        <v>252</v>
      </c>
      <c r="C12" s="18">
        <v>0</v>
      </c>
      <c r="D12" s="18"/>
      <c r="E12" s="18"/>
      <c r="F12" s="18"/>
      <c r="G12" s="18">
        <f t="shared" si="0"/>
        <v>0</v>
      </c>
      <c r="H12" s="16" t="str">
        <f t="shared" si="1"/>
        <v>LOW</v>
      </c>
      <c r="M12" s="1" t="s">
        <v>170</v>
      </c>
      <c r="O12" s="1" t="s">
        <v>93</v>
      </c>
      <c r="Q12" s="1" t="s">
        <v>148</v>
      </c>
    </row>
    <row r="13" spans="1:19" x14ac:dyDescent="0.2">
      <c r="A13" s="80">
        <v>53</v>
      </c>
      <c r="B13" s="60" t="s">
        <v>422</v>
      </c>
      <c r="C13" s="20">
        <v>29</v>
      </c>
      <c r="D13" s="18"/>
      <c r="E13" s="18"/>
      <c r="F13" s="20"/>
      <c r="G13" s="18">
        <f t="shared" si="0"/>
        <v>29</v>
      </c>
      <c r="H13" s="16" t="str">
        <f t="shared" si="1"/>
        <v>LOW</v>
      </c>
      <c r="J13" s="1" t="s">
        <v>78</v>
      </c>
      <c r="M13" s="1" t="s">
        <v>170</v>
      </c>
      <c r="O13" s="1" t="s">
        <v>93</v>
      </c>
      <c r="Q13" s="1" t="s">
        <v>156</v>
      </c>
    </row>
    <row r="14" spans="1:19" x14ac:dyDescent="0.2">
      <c r="A14" s="93">
        <v>54</v>
      </c>
      <c r="B14" s="60" t="s">
        <v>253</v>
      </c>
      <c r="C14" s="20">
        <v>20</v>
      </c>
      <c r="D14" s="18"/>
      <c r="E14" s="18"/>
      <c r="F14" s="20"/>
      <c r="G14" s="18">
        <f t="shared" si="0"/>
        <v>20</v>
      </c>
      <c r="H14" s="16" t="str">
        <f t="shared" si="1"/>
        <v>LOW</v>
      </c>
      <c r="M14" s="1" t="s">
        <v>170</v>
      </c>
      <c r="O14" s="1" t="s">
        <v>93</v>
      </c>
      <c r="Q14" s="1" t="s">
        <v>148</v>
      </c>
      <c r="R14" s="55"/>
      <c r="S14" s="55"/>
    </row>
    <row r="15" spans="1:19" x14ac:dyDescent="0.2">
      <c r="A15" s="93">
        <v>55</v>
      </c>
      <c r="B15" s="60" t="s">
        <v>249</v>
      </c>
      <c r="C15" s="20">
        <v>143</v>
      </c>
      <c r="D15" s="20"/>
      <c r="E15" s="20"/>
      <c r="F15" s="20"/>
      <c r="G15" s="18">
        <f t="shared" si="0"/>
        <v>143</v>
      </c>
      <c r="H15" s="16" t="str">
        <f t="shared" si="1"/>
        <v xml:space="preserve"> </v>
      </c>
      <c r="I15" s="1" t="s">
        <v>165</v>
      </c>
      <c r="M15" s="1" t="s">
        <v>170</v>
      </c>
      <c r="O15" s="1" t="s">
        <v>93</v>
      </c>
      <c r="Q15" s="1" t="s">
        <v>148</v>
      </c>
    </row>
    <row r="16" spans="1:19" x14ac:dyDescent="0.2">
      <c r="A16" s="93" t="s">
        <v>439</v>
      </c>
      <c r="B16" s="97" t="s">
        <v>440</v>
      </c>
      <c r="C16" s="18">
        <v>25</v>
      </c>
      <c r="D16" s="18"/>
      <c r="E16" s="18"/>
      <c r="F16" s="18"/>
      <c r="G16" s="18">
        <f t="shared" si="0"/>
        <v>25</v>
      </c>
      <c r="H16" s="16" t="str">
        <f t="shared" si="1"/>
        <v>LOW</v>
      </c>
      <c r="M16" s="1" t="s">
        <v>273</v>
      </c>
      <c r="O16" s="1" t="s">
        <v>93</v>
      </c>
      <c r="Q16" s="1" t="s">
        <v>156</v>
      </c>
    </row>
    <row r="17" spans="1:17" x14ac:dyDescent="0.2">
      <c r="A17" s="93">
        <v>62</v>
      </c>
      <c r="B17" s="59" t="s">
        <v>250</v>
      </c>
      <c r="C17" s="18">
        <v>0</v>
      </c>
      <c r="D17" s="18"/>
      <c r="E17" s="18"/>
      <c r="F17" s="18"/>
      <c r="G17" s="18">
        <f t="shared" si="0"/>
        <v>0</v>
      </c>
      <c r="H17" s="16" t="str">
        <f t="shared" si="1"/>
        <v>LOW</v>
      </c>
      <c r="M17" s="1" t="s">
        <v>170</v>
      </c>
      <c r="O17" s="1" t="s">
        <v>93</v>
      </c>
      <c r="Q17" s="1" t="s">
        <v>148</v>
      </c>
    </row>
    <row r="18" spans="1:17" x14ac:dyDescent="0.2">
      <c r="A18" s="93" t="s">
        <v>312</v>
      </c>
      <c r="B18" s="59" t="s">
        <v>311</v>
      </c>
      <c r="C18" s="18">
        <v>48</v>
      </c>
      <c r="D18" s="18"/>
      <c r="E18" s="18"/>
      <c r="F18" s="18"/>
      <c r="G18" s="18">
        <f t="shared" si="0"/>
        <v>48</v>
      </c>
      <c r="H18" s="16" t="str">
        <f t="shared" si="1"/>
        <v>LOW</v>
      </c>
      <c r="M18" s="1" t="s">
        <v>260</v>
      </c>
      <c r="O18" s="1" t="s">
        <v>93</v>
      </c>
      <c r="Q18" s="1" t="s">
        <v>276</v>
      </c>
    </row>
    <row r="19" spans="1:17" x14ac:dyDescent="0.2">
      <c r="A19" s="80" t="s">
        <v>71</v>
      </c>
      <c r="B19" s="59" t="s">
        <v>251</v>
      </c>
      <c r="C19" s="18">
        <v>56</v>
      </c>
      <c r="D19" s="18"/>
      <c r="E19" s="18"/>
      <c r="F19" s="18">
        <v>5</v>
      </c>
      <c r="G19" s="18">
        <f t="shared" si="0"/>
        <v>51</v>
      </c>
      <c r="H19" s="16" t="str">
        <f t="shared" si="1"/>
        <v>LOW</v>
      </c>
      <c r="M19" s="1" t="s">
        <v>170</v>
      </c>
      <c r="O19" s="1" t="s">
        <v>93</v>
      </c>
      <c r="Q19" s="1" t="s">
        <v>148</v>
      </c>
    </row>
    <row r="20" spans="1:17" x14ac:dyDescent="0.2">
      <c r="A20" s="80" t="s">
        <v>261</v>
      </c>
      <c r="B20" s="59" t="s">
        <v>452</v>
      </c>
      <c r="C20" s="18">
        <v>0</v>
      </c>
      <c r="D20" s="18"/>
      <c r="E20" s="18"/>
      <c r="F20" s="18"/>
      <c r="G20" s="18">
        <f t="shared" si="0"/>
        <v>0</v>
      </c>
      <c r="H20" s="16" t="str">
        <f t="shared" si="1"/>
        <v>LOW</v>
      </c>
      <c r="M20" s="1" t="s">
        <v>180</v>
      </c>
      <c r="O20" s="1" t="s">
        <v>93</v>
      </c>
      <c r="Q20" s="1" t="s">
        <v>148</v>
      </c>
    </row>
    <row r="21" spans="1:17" x14ac:dyDescent="0.2">
      <c r="A21" s="80" t="s">
        <v>261</v>
      </c>
      <c r="B21" s="59" t="s">
        <v>464</v>
      </c>
      <c r="C21" s="18">
        <v>44</v>
      </c>
      <c r="D21" s="18"/>
      <c r="E21" s="18"/>
      <c r="F21" s="18"/>
      <c r="G21" s="18">
        <f t="shared" si="0"/>
        <v>44</v>
      </c>
      <c r="H21" s="16" t="str">
        <f t="shared" si="1"/>
        <v>LOW</v>
      </c>
      <c r="M21" s="1" t="s">
        <v>170</v>
      </c>
      <c r="O21" s="1" t="s">
        <v>93</v>
      </c>
      <c r="Q21" s="1" t="s">
        <v>148</v>
      </c>
    </row>
    <row r="22" spans="1:17" x14ac:dyDescent="0.2">
      <c r="A22" s="93">
        <v>56</v>
      </c>
      <c r="B22" s="60" t="s">
        <v>263</v>
      </c>
      <c r="C22" s="20">
        <v>2</v>
      </c>
      <c r="D22" s="20"/>
      <c r="E22" s="20"/>
      <c r="F22" s="20"/>
      <c r="G22" s="18">
        <f t="shared" si="0"/>
        <v>2</v>
      </c>
      <c r="H22" s="16" t="str">
        <f t="shared" si="1"/>
        <v>LOW</v>
      </c>
      <c r="I22" s="1" t="s">
        <v>166</v>
      </c>
      <c r="M22" s="1" t="s">
        <v>170</v>
      </c>
      <c r="O22" s="1" t="s">
        <v>93</v>
      </c>
      <c r="Q22" s="1" t="s">
        <v>156</v>
      </c>
    </row>
    <row r="23" spans="1:17" x14ac:dyDescent="0.2">
      <c r="A23" s="93">
        <v>57</v>
      </c>
      <c r="B23" s="60" t="s">
        <v>423</v>
      </c>
      <c r="C23" s="20">
        <v>150</v>
      </c>
      <c r="D23" s="20"/>
      <c r="E23" s="20"/>
      <c r="F23" s="20"/>
      <c r="G23" s="18">
        <f t="shared" si="0"/>
        <v>150</v>
      </c>
      <c r="H23" s="16" t="str">
        <f t="shared" si="1"/>
        <v xml:space="preserve"> </v>
      </c>
      <c r="M23" s="1" t="s">
        <v>170</v>
      </c>
      <c r="O23" s="1" t="s">
        <v>93</v>
      </c>
      <c r="Q23" s="1" t="s">
        <v>156</v>
      </c>
    </row>
    <row r="24" spans="1:17" x14ac:dyDescent="0.2">
      <c r="A24" s="93" t="s">
        <v>172</v>
      </c>
      <c r="B24" s="60" t="s">
        <v>358</v>
      </c>
      <c r="C24" s="20">
        <v>0</v>
      </c>
      <c r="D24" s="20"/>
      <c r="E24" s="20"/>
      <c r="F24" s="20"/>
      <c r="G24" s="18">
        <f t="shared" si="0"/>
        <v>0</v>
      </c>
      <c r="H24" s="16" t="str">
        <f t="shared" si="1"/>
        <v>LOW</v>
      </c>
      <c r="M24" s="1" t="s">
        <v>180</v>
      </c>
      <c r="O24" s="1" t="s">
        <v>93</v>
      </c>
      <c r="Q24" s="1" t="s">
        <v>357</v>
      </c>
    </row>
    <row r="25" spans="1:17" x14ac:dyDescent="0.2">
      <c r="A25" s="93">
        <v>59</v>
      </c>
      <c r="B25" s="60" t="s">
        <v>326</v>
      </c>
      <c r="C25" s="20">
        <v>295</v>
      </c>
      <c r="D25" s="20"/>
      <c r="E25" s="20"/>
      <c r="F25" s="20"/>
      <c r="G25" s="18">
        <f t="shared" si="0"/>
        <v>295</v>
      </c>
      <c r="H25" s="16" t="str">
        <f t="shared" si="1"/>
        <v xml:space="preserve"> </v>
      </c>
      <c r="M25" s="1" t="s">
        <v>170</v>
      </c>
      <c r="O25" s="1" t="s">
        <v>93</v>
      </c>
      <c r="Q25" s="1" t="s">
        <v>148</v>
      </c>
    </row>
    <row r="26" spans="1:17" x14ac:dyDescent="0.2">
      <c r="A26" s="93">
        <v>77</v>
      </c>
      <c r="B26" s="60" t="s">
        <v>359</v>
      </c>
      <c r="C26" s="18">
        <v>0</v>
      </c>
      <c r="D26" s="18"/>
      <c r="E26" s="18"/>
      <c r="F26" s="18"/>
      <c r="G26" s="18">
        <f t="shared" si="0"/>
        <v>0</v>
      </c>
      <c r="H26" s="16" t="str">
        <f t="shared" si="1"/>
        <v>LOW</v>
      </c>
      <c r="M26" s="1" t="s">
        <v>180</v>
      </c>
      <c r="O26" s="1" t="s">
        <v>93</v>
      </c>
      <c r="Q26" s="1" t="s">
        <v>148</v>
      </c>
    </row>
    <row r="27" spans="1:17" x14ac:dyDescent="0.2">
      <c r="A27" s="93" t="s">
        <v>516</v>
      </c>
      <c r="B27" s="59" t="s">
        <v>517</v>
      </c>
      <c r="C27" s="18">
        <v>17</v>
      </c>
      <c r="D27" s="18"/>
      <c r="E27" s="18"/>
      <c r="F27" s="18"/>
      <c r="G27" s="18">
        <f t="shared" si="0"/>
        <v>17</v>
      </c>
      <c r="H27" s="16" t="str">
        <f t="shared" si="1"/>
        <v>LOW</v>
      </c>
      <c r="M27" s="1" t="s">
        <v>260</v>
      </c>
      <c r="O27" s="1" t="s">
        <v>93</v>
      </c>
      <c r="Q27" s="1" t="s">
        <v>148</v>
      </c>
    </row>
    <row r="28" spans="1:17" x14ac:dyDescent="0.2">
      <c r="A28" s="93" t="s">
        <v>172</v>
      </c>
      <c r="B28" s="60" t="s">
        <v>360</v>
      </c>
      <c r="C28" s="18">
        <v>0</v>
      </c>
      <c r="D28" s="18"/>
      <c r="E28" s="18"/>
      <c r="F28" s="18"/>
      <c r="G28" s="18">
        <f t="shared" si="0"/>
        <v>0</v>
      </c>
      <c r="H28" s="16" t="str">
        <f t="shared" si="1"/>
        <v>LOW</v>
      </c>
      <c r="M28" s="1" t="s">
        <v>180</v>
      </c>
      <c r="O28" s="1" t="s">
        <v>93</v>
      </c>
      <c r="Q28" s="1" t="s">
        <v>357</v>
      </c>
    </row>
    <row r="29" spans="1:17" x14ac:dyDescent="0.2">
      <c r="A29" s="93" t="s">
        <v>468</v>
      </c>
      <c r="B29" s="58" t="s">
        <v>469</v>
      </c>
      <c r="C29" s="18">
        <v>23</v>
      </c>
      <c r="D29" s="18"/>
      <c r="E29" s="18"/>
      <c r="F29" s="18"/>
      <c r="G29" s="18">
        <f t="shared" si="0"/>
        <v>23</v>
      </c>
      <c r="H29" s="16" t="str">
        <f t="shared" si="1"/>
        <v>LOW</v>
      </c>
      <c r="M29" s="1" t="s">
        <v>170</v>
      </c>
      <c r="O29" s="1" t="s">
        <v>93</v>
      </c>
      <c r="Q29" s="1" t="s">
        <v>148</v>
      </c>
    </row>
    <row r="30" spans="1:17" x14ac:dyDescent="0.2">
      <c r="A30" s="93" t="s">
        <v>506</v>
      </c>
      <c r="B30" s="58" t="s">
        <v>507</v>
      </c>
      <c r="C30" s="38">
        <v>8</v>
      </c>
      <c r="D30" s="18"/>
      <c r="E30" s="18"/>
      <c r="F30" s="18"/>
      <c r="G30" s="18">
        <f t="shared" si="0"/>
        <v>8</v>
      </c>
      <c r="H30" s="16" t="str">
        <f t="shared" si="1"/>
        <v>LOW</v>
      </c>
      <c r="M30" s="1" t="s">
        <v>260</v>
      </c>
      <c r="O30" s="1" t="s">
        <v>93</v>
      </c>
      <c r="Q30" s="1" t="s">
        <v>148</v>
      </c>
    </row>
    <row r="31" spans="1:17" x14ac:dyDescent="0.2">
      <c r="A31" s="93" t="s">
        <v>327</v>
      </c>
      <c r="B31" s="58" t="s">
        <v>328</v>
      </c>
      <c r="C31" s="38">
        <v>55</v>
      </c>
      <c r="D31" s="18"/>
      <c r="E31" s="18"/>
      <c r="F31" s="18">
        <v>15</v>
      </c>
      <c r="G31" s="18">
        <f t="shared" si="0"/>
        <v>40</v>
      </c>
      <c r="H31" s="16" t="str">
        <f t="shared" si="1"/>
        <v>LOW</v>
      </c>
      <c r="M31" s="1" t="s">
        <v>260</v>
      </c>
      <c r="O31" s="1" t="s">
        <v>93</v>
      </c>
      <c r="Q31" s="1" t="s">
        <v>148</v>
      </c>
    </row>
    <row r="32" spans="1:17" x14ac:dyDescent="0.2">
      <c r="A32" s="93" t="s">
        <v>406</v>
      </c>
      <c r="B32" s="97" t="s">
        <v>407</v>
      </c>
      <c r="C32" s="38">
        <v>32</v>
      </c>
      <c r="D32" s="18"/>
      <c r="E32" s="18"/>
      <c r="F32" s="18"/>
      <c r="G32" s="18">
        <f t="shared" si="0"/>
        <v>32</v>
      </c>
      <c r="H32" s="16" t="str">
        <f t="shared" si="1"/>
        <v>LOW</v>
      </c>
      <c r="M32" s="1" t="s">
        <v>273</v>
      </c>
      <c r="O32" s="1" t="s">
        <v>93</v>
      </c>
      <c r="Q32" s="1" t="s">
        <v>156</v>
      </c>
    </row>
    <row r="33" spans="1:17" ht="18.75" x14ac:dyDescent="0.25">
      <c r="A33" s="92"/>
      <c r="B33" s="99" t="s">
        <v>338</v>
      </c>
      <c r="C33" s="37" t="s">
        <v>2</v>
      </c>
      <c r="D33" s="4"/>
      <c r="E33" s="53"/>
      <c r="F33" s="54"/>
      <c r="G33" s="37" t="s">
        <v>2</v>
      </c>
      <c r="H33" s="56"/>
      <c r="J33" s="1" t="s">
        <v>78</v>
      </c>
      <c r="M33" s="1" t="s">
        <v>93</v>
      </c>
      <c r="O33" s="1" t="s">
        <v>93</v>
      </c>
      <c r="Q33" s="1" t="s">
        <v>93</v>
      </c>
    </row>
    <row r="34" spans="1:17" x14ac:dyDescent="0.2">
      <c r="A34" s="93" t="s">
        <v>344</v>
      </c>
      <c r="B34" s="81" t="s">
        <v>343</v>
      </c>
      <c r="C34" s="18">
        <v>6</v>
      </c>
      <c r="D34" s="18"/>
      <c r="E34" s="18"/>
      <c r="F34" s="18"/>
      <c r="G34" s="18">
        <f>C34+D34+E34-F34</f>
        <v>6</v>
      </c>
      <c r="H34" s="16" t="str">
        <f>IF(G34&lt;100,"LOW"," ")</f>
        <v>LOW</v>
      </c>
      <c r="J34" s="1" t="s">
        <v>78</v>
      </c>
      <c r="M34" s="1" t="s">
        <v>134</v>
      </c>
      <c r="O34" s="1" t="s">
        <v>93</v>
      </c>
      <c r="Q34" s="1" t="s">
        <v>150</v>
      </c>
    </row>
    <row r="35" spans="1:17" x14ac:dyDescent="0.2">
      <c r="A35" s="93" t="s">
        <v>331</v>
      </c>
      <c r="B35" s="81" t="s">
        <v>332</v>
      </c>
      <c r="C35" s="18">
        <v>0</v>
      </c>
      <c r="D35" s="18"/>
      <c r="E35" s="18"/>
      <c r="F35" s="18"/>
      <c r="G35" s="18">
        <f t="shared" ref="G35:G38" si="2">C35+D35+E35-F35</f>
        <v>0</v>
      </c>
      <c r="H35" s="16" t="str">
        <f>IF(G35&lt;100,"LOW"," ")</f>
        <v>LOW</v>
      </c>
      <c r="M35" s="1" t="s">
        <v>134</v>
      </c>
      <c r="O35" s="1" t="s">
        <v>93</v>
      </c>
      <c r="Q35" s="1" t="s">
        <v>150</v>
      </c>
    </row>
    <row r="36" spans="1:17" x14ac:dyDescent="0.2">
      <c r="A36" s="93" t="s">
        <v>341</v>
      </c>
      <c r="B36" s="81" t="s">
        <v>339</v>
      </c>
      <c r="C36" s="18">
        <v>14</v>
      </c>
      <c r="D36" s="18"/>
      <c r="E36" s="18"/>
      <c r="F36" s="18"/>
      <c r="G36" s="18">
        <f t="shared" si="2"/>
        <v>14</v>
      </c>
      <c r="H36" s="16" t="str">
        <f>IF(G36&lt;100,"LOW"," ")</f>
        <v>LOW</v>
      </c>
      <c r="M36" s="1" t="s">
        <v>134</v>
      </c>
      <c r="O36" s="1" t="s">
        <v>93</v>
      </c>
      <c r="Q36" s="1" t="s">
        <v>150</v>
      </c>
    </row>
    <row r="37" spans="1:17" x14ac:dyDescent="0.2">
      <c r="A37" s="93" t="s">
        <v>342</v>
      </c>
      <c r="B37" s="81" t="s">
        <v>340</v>
      </c>
      <c r="C37" s="38">
        <v>4</v>
      </c>
      <c r="D37" s="18"/>
      <c r="E37" s="18"/>
      <c r="F37" s="18"/>
      <c r="G37" s="18">
        <f t="shared" si="2"/>
        <v>4</v>
      </c>
      <c r="H37" s="16" t="str">
        <f>IF(G37&lt;100,"LOW"," ")</f>
        <v>LOW</v>
      </c>
      <c r="M37" s="1" t="s">
        <v>135</v>
      </c>
      <c r="O37" s="1" t="s">
        <v>93</v>
      </c>
      <c r="Q37" s="1" t="s">
        <v>150</v>
      </c>
    </row>
    <row r="38" spans="1:17" x14ac:dyDescent="0.2">
      <c r="A38" s="32" t="s">
        <v>200</v>
      </c>
      <c r="B38" s="81" t="s">
        <v>441</v>
      </c>
      <c r="C38" s="38">
        <v>0</v>
      </c>
      <c r="D38" s="18"/>
      <c r="E38" s="18"/>
      <c r="F38" s="18"/>
      <c r="G38" s="18">
        <f t="shared" si="2"/>
        <v>0</v>
      </c>
      <c r="H38" s="16" t="str">
        <f>IF(G38&lt;100,"LOW"," ")</f>
        <v>LOW</v>
      </c>
      <c r="M38" s="1" t="s">
        <v>136</v>
      </c>
      <c r="O38" s="1" t="s">
        <v>93</v>
      </c>
      <c r="Q38" s="1" t="s">
        <v>151</v>
      </c>
    </row>
    <row r="39" spans="1:17" ht="18.75" x14ac:dyDescent="0.25">
      <c r="A39" s="92"/>
      <c r="B39" s="107" t="s">
        <v>524</v>
      </c>
      <c r="C39" s="37" t="s">
        <v>2</v>
      </c>
      <c r="D39" s="4"/>
      <c r="E39" s="53"/>
      <c r="F39" s="54"/>
      <c r="G39" s="37" t="s">
        <v>2</v>
      </c>
      <c r="H39" s="56"/>
      <c r="J39" s="1" t="s">
        <v>78</v>
      </c>
      <c r="M39" s="1" t="s">
        <v>93</v>
      </c>
      <c r="O39" s="1" t="s">
        <v>93</v>
      </c>
      <c r="Q39" s="1" t="s">
        <v>93</v>
      </c>
    </row>
    <row r="40" spans="1:17" x14ac:dyDescent="0.2">
      <c r="A40" s="93" t="s">
        <v>526</v>
      </c>
      <c r="B40" s="59" t="s">
        <v>525</v>
      </c>
      <c r="C40" s="18">
        <v>0</v>
      </c>
      <c r="D40" s="18"/>
      <c r="E40" s="18"/>
      <c r="F40" s="18"/>
      <c r="G40" s="18">
        <f>C40+D40+E40-F40</f>
        <v>0</v>
      </c>
      <c r="H40" s="16" t="str">
        <f>IF(G40&lt;100,"LOW"," ")</f>
        <v>LOW</v>
      </c>
      <c r="M40" s="1" t="s">
        <v>178</v>
      </c>
      <c r="O40" s="1" t="s">
        <v>93</v>
      </c>
      <c r="Q40" s="1" t="s">
        <v>181</v>
      </c>
    </row>
    <row r="41" spans="1:17" x14ac:dyDescent="0.2">
      <c r="A41" s="93"/>
      <c r="B41" s="97" t="s">
        <v>172</v>
      </c>
      <c r="C41" s="18">
        <v>0</v>
      </c>
      <c r="D41" s="18"/>
      <c r="E41" s="18"/>
      <c r="F41" s="18"/>
      <c r="G41" s="18">
        <f t="shared" ref="G41" si="3">C41+D41+E41-F41</f>
        <v>0</v>
      </c>
      <c r="H41" s="16" t="str">
        <f>IF(G41&lt;100,"LOW"," ")</f>
        <v>LOW</v>
      </c>
      <c r="M41" s="1" t="s">
        <v>93</v>
      </c>
      <c r="O41" s="1" t="s">
        <v>93</v>
      </c>
      <c r="Q41" s="1" t="s">
        <v>93</v>
      </c>
    </row>
    <row r="42" spans="1:17" x14ac:dyDescent="0.2">
      <c r="A42" s="92"/>
      <c r="B42" s="4" t="s">
        <v>72</v>
      </c>
      <c r="C42" s="37" t="s">
        <v>2</v>
      </c>
      <c r="D42" s="4"/>
      <c r="E42" s="53"/>
      <c r="F42" s="54"/>
      <c r="G42" s="37" t="s">
        <v>2</v>
      </c>
      <c r="H42" s="56"/>
      <c r="M42" s="1" t="s">
        <v>93</v>
      </c>
      <c r="O42" s="1" t="s">
        <v>93</v>
      </c>
      <c r="Q42" s="1" t="s">
        <v>93</v>
      </c>
    </row>
    <row r="43" spans="1:17" x14ac:dyDescent="0.2">
      <c r="A43" s="93"/>
      <c r="B43" s="59" t="s">
        <v>73</v>
      </c>
      <c r="C43" s="18">
        <v>1</v>
      </c>
      <c r="D43" s="18"/>
      <c r="E43" s="18"/>
      <c r="F43" s="18"/>
      <c r="G43" s="18">
        <f>C43+D43+E43-F43</f>
        <v>1</v>
      </c>
      <c r="H43" s="16" t="str">
        <f t="shared" ref="H43:H47" si="4">IF(G43&lt;100,"LOW"," ")</f>
        <v>LOW</v>
      </c>
      <c r="M43" s="1" t="s">
        <v>93</v>
      </c>
      <c r="O43" s="1" t="s">
        <v>93</v>
      </c>
      <c r="Q43" s="1" t="s">
        <v>93</v>
      </c>
    </row>
    <row r="44" spans="1:17" x14ac:dyDescent="0.2">
      <c r="A44" s="93"/>
      <c r="B44" s="59" t="s">
        <v>74</v>
      </c>
      <c r="C44" s="18">
        <v>1</v>
      </c>
      <c r="D44" s="18"/>
      <c r="E44" s="18"/>
      <c r="F44" s="18"/>
      <c r="G44" s="18">
        <f t="shared" ref="G44" si="5">C44+D44+E44-F44</f>
        <v>1</v>
      </c>
      <c r="H44" s="16" t="str">
        <f t="shared" si="4"/>
        <v>LOW</v>
      </c>
      <c r="M44" s="1" t="s">
        <v>93</v>
      </c>
      <c r="O44" s="1" t="s">
        <v>93</v>
      </c>
      <c r="Q44" s="1" t="s">
        <v>93</v>
      </c>
    </row>
    <row r="45" spans="1:17" x14ac:dyDescent="0.2">
      <c r="A45" s="92"/>
      <c r="B45" s="120" t="s">
        <v>442</v>
      </c>
      <c r="C45" s="37" t="s">
        <v>2</v>
      </c>
      <c r="D45" s="4"/>
      <c r="E45" s="53"/>
      <c r="F45" s="54"/>
      <c r="G45" s="37" t="s">
        <v>2</v>
      </c>
      <c r="H45" s="56" t="str">
        <f t="shared" si="4"/>
        <v xml:space="preserve"> </v>
      </c>
      <c r="M45" s="1" t="s">
        <v>93</v>
      </c>
      <c r="O45" s="1" t="s">
        <v>93</v>
      </c>
      <c r="Q45" s="1" t="s">
        <v>93</v>
      </c>
    </row>
    <row r="46" spans="1:17" x14ac:dyDescent="0.2">
      <c r="A46" s="93"/>
      <c r="B46" s="71" t="s">
        <v>518</v>
      </c>
      <c r="C46" s="18">
        <v>200</v>
      </c>
      <c r="D46" s="18"/>
      <c r="E46" s="18"/>
      <c r="F46" s="18"/>
      <c r="G46" s="18">
        <f>C46+D46+E46-F46</f>
        <v>200</v>
      </c>
      <c r="H46" s="16" t="str">
        <f t="shared" si="4"/>
        <v xml:space="preserve"> </v>
      </c>
      <c r="M46" s="1" t="s">
        <v>93</v>
      </c>
      <c r="O46" s="1" t="s">
        <v>93</v>
      </c>
      <c r="Q46" s="1" t="s">
        <v>93</v>
      </c>
    </row>
    <row r="47" spans="1:17" x14ac:dyDescent="0.2">
      <c r="A47" s="93"/>
      <c r="B47" s="71" t="s">
        <v>513</v>
      </c>
      <c r="C47" s="18">
        <v>149</v>
      </c>
      <c r="D47" s="18"/>
      <c r="E47" s="18"/>
      <c r="F47" s="18"/>
      <c r="G47" s="18">
        <f>C47+D47+E47-F47</f>
        <v>149</v>
      </c>
      <c r="H47" s="16" t="str">
        <f t="shared" si="4"/>
        <v xml:space="preserve"> </v>
      </c>
      <c r="M47" s="1" t="s">
        <v>93</v>
      </c>
      <c r="O47" s="1" t="s">
        <v>93</v>
      </c>
      <c r="Q47" s="1" t="s">
        <v>93</v>
      </c>
    </row>
    <row r="48" spans="1:17" x14ac:dyDescent="0.2">
      <c r="A48" s="92"/>
      <c r="B48" s="10" t="s">
        <v>242</v>
      </c>
      <c r="C48" s="12" t="s">
        <v>2</v>
      </c>
      <c r="D48" s="12"/>
      <c r="E48" s="53"/>
      <c r="F48" s="54"/>
      <c r="G48" s="12" t="s">
        <v>2</v>
      </c>
      <c r="H48" s="56"/>
      <c r="M48" s="1" t="s">
        <v>93</v>
      </c>
      <c r="O48" s="1" t="s">
        <v>93</v>
      </c>
      <c r="Q48" s="1" t="s">
        <v>93</v>
      </c>
    </row>
    <row r="49" spans="1:17" ht="18.75" x14ac:dyDescent="0.25">
      <c r="A49" s="93" t="s">
        <v>172</v>
      </c>
      <c r="B49" s="97" t="s">
        <v>172</v>
      </c>
      <c r="C49" s="100">
        <v>0</v>
      </c>
      <c r="D49" s="2"/>
      <c r="E49" s="100"/>
      <c r="F49" s="100"/>
      <c r="G49" s="101">
        <f t="shared" ref="G49:G60" si="6">C49+D49+E49-F49</f>
        <v>0</v>
      </c>
      <c r="H49" s="16"/>
      <c r="M49" s="46" t="s">
        <v>93</v>
      </c>
      <c r="O49" s="1" t="s">
        <v>93</v>
      </c>
      <c r="Q49" s="9" t="s">
        <v>93</v>
      </c>
    </row>
    <row r="50" spans="1:17" x14ac:dyDescent="0.2">
      <c r="A50" s="11" t="s">
        <v>413</v>
      </c>
      <c r="B50" s="82" t="s">
        <v>414</v>
      </c>
      <c r="C50" s="80">
        <v>0</v>
      </c>
      <c r="D50" s="80"/>
      <c r="E50" s="80"/>
      <c r="F50" s="80"/>
      <c r="G50" s="17">
        <f t="shared" si="6"/>
        <v>0</v>
      </c>
      <c r="H50" s="16"/>
      <c r="M50" s="46" t="s">
        <v>134</v>
      </c>
      <c r="O50" s="1" t="s">
        <v>93</v>
      </c>
      <c r="Q50" s="9" t="s">
        <v>150</v>
      </c>
    </row>
    <row r="51" spans="1:17" x14ac:dyDescent="0.2">
      <c r="A51" s="93" t="s">
        <v>239</v>
      </c>
      <c r="B51" s="70" t="s">
        <v>272</v>
      </c>
      <c r="C51" s="17">
        <v>25</v>
      </c>
      <c r="D51" s="17"/>
      <c r="E51" s="17"/>
      <c r="F51" s="17"/>
      <c r="G51" s="17">
        <f t="shared" si="6"/>
        <v>25</v>
      </c>
      <c r="H51" s="16" t="str">
        <f>IF(G51&lt;100,"LOW"," ")</f>
        <v>LOW</v>
      </c>
      <c r="M51" s="46" t="s">
        <v>134</v>
      </c>
      <c r="O51" s="1" t="s">
        <v>93</v>
      </c>
      <c r="Q51" s="9" t="s">
        <v>150</v>
      </c>
    </row>
    <row r="52" spans="1:17" x14ac:dyDescent="0.2">
      <c r="A52" s="93" t="s">
        <v>451</v>
      </c>
      <c r="B52" s="70" t="s">
        <v>450</v>
      </c>
      <c r="C52" s="17">
        <v>28</v>
      </c>
      <c r="D52" s="17"/>
      <c r="E52" s="17"/>
      <c r="F52" s="17"/>
      <c r="G52" s="17">
        <f t="shared" si="6"/>
        <v>28</v>
      </c>
      <c r="H52" s="16" t="str">
        <f>IF(G52&lt;100,"LOW"," ")</f>
        <v>LOW</v>
      </c>
      <c r="M52" s="46" t="s">
        <v>134</v>
      </c>
      <c r="O52" s="1" t="s">
        <v>93</v>
      </c>
      <c r="Q52" s="9" t="s">
        <v>150</v>
      </c>
    </row>
    <row r="53" spans="1:17" ht="15.75" x14ac:dyDescent="0.2">
      <c r="A53" s="93" t="s">
        <v>240</v>
      </c>
      <c r="B53" s="70" t="s">
        <v>271</v>
      </c>
      <c r="C53" s="17">
        <v>5</v>
      </c>
      <c r="D53" s="17"/>
      <c r="E53" s="17"/>
      <c r="F53" s="98"/>
      <c r="G53" s="17">
        <f t="shared" si="6"/>
        <v>5</v>
      </c>
      <c r="H53" s="16" t="str">
        <f>IF(G53&lt;100,"LOW"," ")</f>
        <v>LOW</v>
      </c>
      <c r="M53" s="46" t="s">
        <v>135</v>
      </c>
      <c r="O53" s="1" t="s">
        <v>93</v>
      </c>
      <c r="Q53" s="9" t="s">
        <v>150</v>
      </c>
    </row>
    <row r="54" spans="1:17" x14ac:dyDescent="0.2">
      <c r="A54" s="93" t="s">
        <v>241</v>
      </c>
      <c r="B54" s="70" t="s">
        <v>270</v>
      </c>
      <c r="C54" s="17">
        <v>4</v>
      </c>
      <c r="D54" s="17"/>
      <c r="E54" s="17"/>
      <c r="F54" s="17"/>
      <c r="G54" s="17">
        <f t="shared" si="6"/>
        <v>4</v>
      </c>
      <c r="H54" s="16" t="str">
        <f>IF(G54&lt;100,"LOW"," ")</f>
        <v>LOW</v>
      </c>
      <c r="M54" s="46" t="s">
        <v>135</v>
      </c>
      <c r="O54" s="1" t="s">
        <v>93</v>
      </c>
      <c r="Q54" s="9" t="s">
        <v>150</v>
      </c>
    </row>
    <row r="55" spans="1:17" x14ac:dyDescent="0.2">
      <c r="A55" s="80" t="s">
        <v>204</v>
      </c>
      <c r="B55" s="70" t="s">
        <v>254</v>
      </c>
      <c r="C55" s="18">
        <v>0</v>
      </c>
      <c r="D55" s="80"/>
      <c r="E55" s="80"/>
      <c r="F55" s="80"/>
      <c r="G55" s="18">
        <f t="shared" si="6"/>
        <v>0</v>
      </c>
      <c r="H55" s="16"/>
      <c r="M55" s="46" t="s">
        <v>135</v>
      </c>
      <c r="O55" s="1" t="s">
        <v>93</v>
      </c>
      <c r="Q55" s="1" t="s">
        <v>150</v>
      </c>
    </row>
    <row r="56" spans="1:17" x14ac:dyDescent="0.2">
      <c r="A56" s="93" t="s">
        <v>409</v>
      </c>
      <c r="B56" s="70" t="s">
        <v>410</v>
      </c>
      <c r="C56" s="18">
        <v>2</v>
      </c>
      <c r="D56" s="80"/>
      <c r="E56" s="80"/>
      <c r="F56" s="80"/>
      <c r="G56" s="18">
        <f t="shared" si="6"/>
        <v>2</v>
      </c>
      <c r="H56" s="16"/>
      <c r="M56" s="46" t="s">
        <v>307</v>
      </c>
      <c r="O56" s="1" t="s">
        <v>93</v>
      </c>
      <c r="Q56" s="1" t="s">
        <v>152</v>
      </c>
    </row>
    <row r="57" spans="1:17" x14ac:dyDescent="0.2">
      <c r="A57" s="80" t="s">
        <v>462</v>
      </c>
      <c r="B57" s="91" t="s">
        <v>463</v>
      </c>
      <c r="C57" s="18">
        <v>31</v>
      </c>
      <c r="D57" s="93"/>
      <c r="E57" s="80"/>
      <c r="F57" s="2"/>
      <c r="G57" s="18">
        <f t="shared" si="6"/>
        <v>31</v>
      </c>
      <c r="H57" s="16"/>
      <c r="M57" s="7" t="s">
        <v>273</v>
      </c>
      <c r="O57" s="1" t="s">
        <v>93</v>
      </c>
      <c r="Q57" s="1" t="s">
        <v>156</v>
      </c>
    </row>
    <row r="58" spans="1:17" x14ac:dyDescent="0.2">
      <c r="A58" s="92"/>
      <c r="B58" s="10"/>
      <c r="C58" s="12" t="s">
        <v>2</v>
      </c>
      <c r="D58" s="12"/>
      <c r="E58" s="53"/>
      <c r="F58" s="54"/>
      <c r="G58" s="12" t="s">
        <v>2</v>
      </c>
      <c r="H58" s="56"/>
      <c r="M58" s="1" t="s">
        <v>93</v>
      </c>
      <c r="O58" s="1" t="s">
        <v>93</v>
      </c>
      <c r="Q58" s="1" t="s">
        <v>93</v>
      </c>
    </row>
    <row r="59" spans="1:17" x14ac:dyDescent="0.2">
      <c r="A59" s="80" t="s">
        <v>458</v>
      </c>
      <c r="B59" s="91" t="s">
        <v>459</v>
      </c>
      <c r="C59" s="17">
        <v>65</v>
      </c>
      <c r="D59" s="80"/>
      <c r="E59" s="80"/>
      <c r="F59" s="80"/>
      <c r="G59" s="18">
        <f t="shared" si="6"/>
        <v>65</v>
      </c>
      <c r="H59" s="16"/>
      <c r="M59" s="7" t="s">
        <v>273</v>
      </c>
      <c r="O59" s="1" t="s">
        <v>93</v>
      </c>
      <c r="Q59" s="1" t="s">
        <v>156</v>
      </c>
    </row>
    <row r="60" spans="1:17" x14ac:dyDescent="0.2">
      <c r="A60" s="80" t="s">
        <v>275</v>
      </c>
      <c r="B60" s="91" t="s">
        <v>466</v>
      </c>
      <c r="C60" s="17">
        <v>87</v>
      </c>
      <c r="D60" s="80"/>
      <c r="E60" s="80"/>
      <c r="F60" s="80"/>
      <c r="G60" s="18">
        <f t="shared" si="6"/>
        <v>87</v>
      </c>
      <c r="H60" s="16"/>
      <c r="K60" s="1" t="s">
        <v>78</v>
      </c>
      <c r="M60" s="7" t="s">
        <v>465</v>
      </c>
      <c r="O60" s="1" t="s">
        <v>93</v>
      </c>
      <c r="Q60" s="1" t="s">
        <v>156</v>
      </c>
    </row>
    <row r="61" spans="1:17" ht="15.75" x14ac:dyDescent="0.2">
      <c r="A61" s="80" t="s">
        <v>313</v>
      </c>
      <c r="B61" s="91" t="s">
        <v>467</v>
      </c>
      <c r="C61" s="17">
        <v>3</v>
      </c>
      <c r="D61" s="96"/>
      <c r="E61" s="96"/>
      <c r="F61" s="96"/>
      <c r="G61" s="17">
        <f t="shared" ref="G61:G78" si="7">C61+D61+E61-F61</f>
        <v>3</v>
      </c>
      <c r="H61" s="16" t="str">
        <f t="shared" ref="H61:H78" si="8">IF(G61&lt;100,"LOW"," ")</f>
        <v>LOW</v>
      </c>
      <c r="M61" s="7" t="s">
        <v>465</v>
      </c>
      <c r="O61" s="1" t="s">
        <v>93</v>
      </c>
      <c r="Q61" s="1" t="s">
        <v>156</v>
      </c>
    </row>
    <row r="62" spans="1:17" ht="15.75" x14ac:dyDescent="0.2">
      <c r="A62" s="32" t="s">
        <v>379</v>
      </c>
      <c r="B62" s="82" t="s">
        <v>430</v>
      </c>
      <c r="C62" s="17">
        <v>20</v>
      </c>
      <c r="D62" s="96"/>
      <c r="E62" s="96"/>
      <c r="F62" s="96"/>
      <c r="G62" s="17">
        <f t="shared" si="7"/>
        <v>20</v>
      </c>
      <c r="H62" s="16" t="str">
        <f t="shared" si="8"/>
        <v>LOW</v>
      </c>
      <c r="M62" s="7" t="s">
        <v>139</v>
      </c>
      <c r="O62" s="1" t="s">
        <v>93</v>
      </c>
      <c r="Q62" s="1" t="s">
        <v>155</v>
      </c>
    </row>
    <row r="63" spans="1:17" ht="15.75" x14ac:dyDescent="0.2">
      <c r="A63" s="11" t="s">
        <v>380</v>
      </c>
      <c r="B63" s="81" t="s">
        <v>431</v>
      </c>
      <c r="C63" s="17">
        <v>27</v>
      </c>
      <c r="D63" s="18"/>
      <c r="E63" s="96"/>
      <c r="F63" s="96"/>
      <c r="G63" s="17">
        <f t="shared" si="7"/>
        <v>27</v>
      </c>
      <c r="H63" s="16" t="str">
        <f t="shared" si="8"/>
        <v>LOW</v>
      </c>
      <c r="M63" s="46" t="s">
        <v>139</v>
      </c>
      <c r="O63" s="1" t="s">
        <v>93</v>
      </c>
      <c r="Q63" s="9" t="s">
        <v>155</v>
      </c>
    </row>
    <row r="64" spans="1:17" ht="15.75" x14ac:dyDescent="0.2">
      <c r="A64" s="11" t="s">
        <v>381</v>
      </c>
      <c r="B64" s="81" t="s">
        <v>432</v>
      </c>
      <c r="C64" s="17">
        <v>23</v>
      </c>
      <c r="D64" s="96"/>
      <c r="E64" s="96"/>
      <c r="F64" s="96"/>
      <c r="G64" s="17">
        <f t="shared" si="7"/>
        <v>23</v>
      </c>
      <c r="H64" s="16" t="str">
        <f t="shared" si="8"/>
        <v>LOW</v>
      </c>
      <c r="M64" s="46" t="s">
        <v>140</v>
      </c>
      <c r="O64" s="1" t="s">
        <v>93</v>
      </c>
      <c r="Q64" s="9" t="s">
        <v>155</v>
      </c>
    </row>
    <row r="65" spans="1:17" x14ac:dyDescent="0.2">
      <c r="A65" s="92"/>
      <c r="B65" s="10" t="s">
        <v>352</v>
      </c>
      <c r="C65" s="12" t="s">
        <v>2</v>
      </c>
      <c r="D65" s="12"/>
      <c r="E65" s="53"/>
      <c r="F65" s="54"/>
      <c r="G65" s="12" t="s">
        <v>2</v>
      </c>
      <c r="H65" s="56"/>
      <c r="M65" s="46" t="s">
        <v>93</v>
      </c>
      <c r="O65" s="1" t="s">
        <v>93</v>
      </c>
      <c r="Q65" s="9" t="s">
        <v>93</v>
      </c>
    </row>
    <row r="66" spans="1:17" ht="15.75" x14ac:dyDescent="0.2">
      <c r="A66" s="93" t="s">
        <v>172</v>
      </c>
      <c r="B66" s="58" t="s">
        <v>345</v>
      </c>
      <c r="C66" s="17">
        <v>27</v>
      </c>
      <c r="D66" s="96"/>
      <c r="E66" s="96"/>
      <c r="F66" s="96"/>
      <c r="G66" s="17">
        <f t="shared" si="7"/>
        <v>27</v>
      </c>
      <c r="H66" s="16" t="str">
        <f t="shared" si="8"/>
        <v>LOW</v>
      </c>
      <c r="M66" s="46" t="s">
        <v>93</v>
      </c>
      <c r="O66" s="1" t="s">
        <v>93</v>
      </c>
      <c r="Q66" s="9" t="s">
        <v>93</v>
      </c>
    </row>
    <row r="67" spans="1:17" ht="15.75" x14ac:dyDescent="0.2">
      <c r="A67" s="93" t="s">
        <v>172</v>
      </c>
      <c r="B67" s="58" t="s">
        <v>309</v>
      </c>
      <c r="C67" s="17">
        <v>0</v>
      </c>
      <c r="D67" s="96"/>
      <c r="E67" s="96"/>
      <c r="F67" s="96"/>
      <c r="G67" s="17">
        <f t="shared" si="7"/>
        <v>0</v>
      </c>
      <c r="H67" s="16" t="str">
        <f t="shared" si="8"/>
        <v>LOW</v>
      </c>
      <c r="M67" s="46" t="s">
        <v>93</v>
      </c>
      <c r="O67" s="1" t="s">
        <v>93</v>
      </c>
      <c r="Q67" s="9" t="s">
        <v>93</v>
      </c>
    </row>
    <row r="68" spans="1:17" ht="15.75" x14ac:dyDescent="0.2">
      <c r="A68" s="93" t="s">
        <v>172</v>
      </c>
      <c r="B68" s="58" t="s">
        <v>349</v>
      </c>
      <c r="C68" s="17">
        <v>19</v>
      </c>
      <c r="D68" s="96"/>
      <c r="E68" s="96"/>
      <c r="F68" s="96"/>
      <c r="G68" s="17">
        <f t="shared" si="7"/>
        <v>19</v>
      </c>
      <c r="H68" s="16" t="str">
        <f t="shared" si="8"/>
        <v>LOW</v>
      </c>
      <c r="M68" s="46" t="s">
        <v>93</v>
      </c>
      <c r="O68" s="1" t="s">
        <v>93</v>
      </c>
      <c r="Q68" s="9" t="s">
        <v>93</v>
      </c>
    </row>
    <row r="69" spans="1:17" x14ac:dyDescent="0.2">
      <c r="A69" s="93" t="s">
        <v>172</v>
      </c>
      <c r="B69" s="93" t="s">
        <v>172</v>
      </c>
      <c r="C69" s="80">
        <v>0</v>
      </c>
      <c r="D69" s="80"/>
      <c r="E69" s="80"/>
      <c r="F69" s="80"/>
      <c r="G69" s="80">
        <f t="shared" si="7"/>
        <v>0</v>
      </c>
      <c r="H69" s="29" t="str">
        <f t="shared" si="8"/>
        <v>LOW</v>
      </c>
      <c r="M69" s="46" t="s">
        <v>93</v>
      </c>
      <c r="O69" s="1" t="s">
        <v>93</v>
      </c>
      <c r="Q69" s="9" t="s">
        <v>93</v>
      </c>
    </row>
    <row r="70" spans="1:17" x14ac:dyDescent="0.2">
      <c r="A70" s="92"/>
      <c r="B70" s="10" t="s">
        <v>367</v>
      </c>
      <c r="C70" s="12" t="s">
        <v>2</v>
      </c>
      <c r="D70" s="12"/>
      <c r="E70" s="53"/>
      <c r="F70" s="54"/>
      <c r="G70" s="12" t="s">
        <v>2</v>
      </c>
      <c r="H70" s="56"/>
      <c r="M70" s="46" t="s">
        <v>93</v>
      </c>
      <c r="O70" s="1" t="s">
        <v>93</v>
      </c>
      <c r="Q70" s="9" t="s">
        <v>93</v>
      </c>
    </row>
    <row r="71" spans="1:17" x14ac:dyDescent="0.2">
      <c r="A71" s="93" t="s">
        <v>363</v>
      </c>
      <c r="B71" s="58" t="s">
        <v>401</v>
      </c>
      <c r="C71" s="80">
        <v>51</v>
      </c>
      <c r="D71" s="80"/>
      <c r="E71" s="80"/>
      <c r="F71" s="80">
        <v>10</v>
      </c>
      <c r="G71" s="80">
        <f t="shared" si="7"/>
        <v>41</v>
      </c>
      <c r="H71" s="29" t="str">
        <f t="shared" si="8"/>
        <v>LOW</v>
      </c>
      <c r="M71" s="46" t="s">
        <v>93</v>
      </c>
      <c r="O71" s="1" t="s">
        <v>93</v>
      </c>
      <c r="Q71" s="9" t="s">
        <v>399</v>
      </c>
    </row>
    <row r="72" spans="1:17" x14ac:dyDescent="0.2">
      <c r="A72" s="93" t="s">
        <v>364</v>
      </c>
      <c r="B72" s="58" t="s">
        <v>402</v>
      </c>
      <c r="C72" s="80">
        <v>96</v>
      </c>
      <c r="D72" s="80"/>
      <c r="E72" s="80"/>
      <c r="F72" s="80"/>
      <c r="G72" s="80">
        <f t="shared" si="7"/>
        <v>96</v>
      </c>
      <c r="H72" s="29" t="str">
        <f t="shared" si="8"/>
        <v>LOW</v>
      </c>
      <c r="J72" s="1" t="s">
        <v>78</v>
      </c>
      <c r="M72" s="46" t="s">
        <v>93</v>
      </c>
      <c r="O72" s="1" t="s">
        <v>93</v>
      </c>
      <c r="Q72" s="9" t="s">
        <v>399</v>
      </c>
    </row>
    <row r="73" spans="1:17" x14ac:dyDescent="0.2">
      <c r="A73" s="93" t="s">
        <v>365</v>
      </c>
      <c r="B73" s="58" t="s">
        <v>403</v>
      </c>
      <c r="C73" s="80">
        <v>381</v>
      </c>
      <c r="D73" s="80">
        <v>18</v>
      </c>
      <c r="E73" s="80">
        <v>20</v>
      </c>
      <c r="F73" s="80">
        <v>20</v>
      </c>
      <c r="G73" s="80">
        <f t="shared" si="7"/>
        <v>399</v>
      </c>
      <c r="H73" s="29" t="str">
        <f t="shared" si="8"/>
        <v xml:space="preserve"> </v>
      </c>
      <c r="M73" s="46" t="s">
        <v>93</v>
      </c>
      <c r="O73" s="1" t="s">
        <v>93</v>
      </c>
      <c r="Q73" s="9" t="s">
        <v>399</v>
      </c>
    </row>
    <row r="74" spans="1:17" x14ac:dyDescent="0.2">
      <c r="A74" s="93" t="s">
        <v>172</v>
      </c>
      <c r="B74" s="93" t="s">
        <v>172</v>
      </c>
      <c r="C74" s="80">
        <v>0</v>
      </c>
      <c r="D74" s="80"/>
      <c r="E74" s="80"/>
      <c r="F74" s="80"/>
      <c r="G74" s="80">
        <f t="shared" si="7"/>
        <v>0</v>
      </c>
      <c r="H74" s="29" t="str">
        <f t="shared" si="8"/>
        <v>LOW</v>
      </c>
      <c r="M74" s="46" t="s">
        <v>93</v>
      </c>
      <c r="O74" s="1" t="s">
        <v>93</v>
      </c>
      <c r="Q74" s="9" t="s">
        <v>93</v>
      </c>
    </row>
    <row r="75" spans="1:17" x14ac:dyDescent="0.2">
      <c r="A75" s="93" t="s">
        <v>172</v>
      </c>
      <c r="B75" s="93" t="s">
        <v>172</v>
      </c>
      <c r="C75" s="80">
        <v>0</v>
      </c>
      <c r="D75" s="80"/>
      <c r="E75" s="80"/>
      <c r="F75" s="80"/>
      <c r="G75" s="80">
        <f t="shared" si="7"/>
        <v>0</v>
      </c>
      <c r="H75" s="29" t="str">
        <f t="shared" si="8"/>
        <v>LOW</v>
      </c>
      <c r="M75" s="46" t="s">
        <v>93</v>
      </c>
      <c r="O75" s="1" t="s">
        <v>93</v>
      </c>
      <c r="Q75" s="9" t="s">
        <v>93</v>
      </c>
    </row>
    <row r="76" spans="1:17" x14ac:dyDescent="0.2">
      <c r="A76" s="93" t="s">
        <v>397</v>
      </c>
      <c r="B76" s="58" t="s">
        <v>404</v>
      </c>
      <c r="C76" s="80">
        <v>0</v>
      </c>
      <c r="D76" s="80"/>
      <c r="E76" s="80"/>
      <c r="F76" s="80"/>
      <c r="G76" s="80">
        <f t="shared" si="7"/>
        <v>0</v>
      </c>
      <c r="H76" s="29" t="str">
        <f t="shared" si="8"/>
        <v>LOW</v>
      </c>
      <c r="M76" s="46" t="s">
        <v>355</v>
      </c>
      <c r="O76" s="1" t="s">
        <v>93</v>
      </c>
      <c r="Q76" s="9" t="s">
        <v>356</v>
      </c>
    </row>
    <row r="77" spans="1:17" ht="18.75" x14ac:dyDescent="0.25">
      <c r="A77" s="93" t="s">
        <v>400</v>
      </c>
      <c r="B77" s="58" t="s">
        <v>405</v>
      </c>
      <c r="C77" s="100">
        <v>131</v>
      </c>
      <c r="D77" s="80">
        <v>5</v>
      </c>
      <c r="E77" s="80"/>
      <c r="F77" s="80"/>
      <c r="G77" s="100">
        <f t="shared" si="7"/>
        <v>136</v>
      </c>
      <c r="H77" s="16" t="str">
        <f t="shared" si="8"/>
        <v xml:space="preserve"> </v>
      </c>
      <c r="M77" s="46" t="s">
        <v>355</v>
      </c>
      <c r="O77" s="1" t="s">
        <v>93</v>
      </c>
      <c r="Q77" s="9" t="s">
        <v>356</v>
      </c>
    </row>
    <row r="78" spans="1:17" x14ac:dyDescent="0.2">
      <c r="A78" s="93" t="s">
        <v>172</v>
      </c>
      <c r="B78" s="93" t="s">
        <v>172</v>
      </c>
      <c r="C78" s="80">
        <v>0</v>
      </c>
      <c r="D78" s="80"/>
      <c r="E78" s="2"/>
      <c r="F78" s="2"/>
      <c r="G78" s="80">
        <f t="shared" si="7"/>
        <v>0</v>
      </c>
      <c r="H78" s="16" t="str">
        <f t="shared" si="8"/>
        <v>LOW</v>
      </c>
      <c r="M78" s="46" t="s">
        <v>93</v>
      </c>
      <c r="O78" s="1" t="s">
        <v>93</v>
      </c>
      <c r="Q78" s="9" t="s">
        <v>93</v>
      </c>
    </row>
    <row r="79" spans="1:17" x14ac:dyDescent="0.2">
      <c r="A79" s="46" t="s">
        <v>392</v>
      </c>
      <c r="B79" s="58" t="s">
        <v>396</v>
      </c>
      <c r="C79" s="18">
        <v>108</v>
      </c>
      <c r="D79" s="18"/>
      <c r="E79" s="18"/>
      <c r="F79" s="18"/>
      <c r="G79" s="18">
        <f t="shared" ref="G79:G80" si="9">C79+D79+E79-F79</f>
        <v>108</v>
      </c>
      <c r="H79" s="16" t="str">
        <f t="shared" ref="H79:H80" si="10">IF(G79&lt;100,"LOW"," ")</f>
        <v xml:space="preserve"> </v>
      </c>
      <c r="M79" s="46" t="s">
        <v>393</v>
      </c>
      <c r="O79" s="1" t="s">
        <v>93</v>
      </c>
      <c r="Q79" s="9" t="s">
        <v>369</v>
      </c>
    </row>
    <row r="80" spans="1:17" x14ac:dyDescent="0.2">
      <c r="A80" s="93" t="s">
        <v>172</v>
      </c>
      <c r="B80" s="93" t="s">
        <v>172</v>
      </c>
      <c r="C80" s="80">
        <v>0</v>
      </c>
      <c r="D80" s="80"/>
      <c r="E80" s="80"/>
      <c r="F80" s="80"/>
      <c r="G80" s="80">
        <f t="shared" si="9"/>
        <v>0</v>
      </c>
      <c r="H80" s="16" t="str">
        <f t="shared" si="10"/>
        <v>LOW</v>
      </c>
    </row>
    <row r="81" spans="1:8" x14ac:dyDescent="0.2">
      <c r="A81" s="102" t="s">
        <v>78</v>
      </c>
      <c r="B81" s="103" t="s">
        <v>78</v>
      </c>
      <c r="H81" t="s">
        <v>78</v>
      </c>
    </row>
    <row r="82" spans="1:8" x14ac:dyDescent="0.2">
      <c r="A82" s="102"/>
      <c r="B82" s="103" t="s">
        <v>78</v>
      </c>
    </row>
    <row r="83" spans="1:8" x14ac:dyDescent="0.2">
      <c r="B83" s="1" t="s">
        <v>78</v>
      </c>
    </row>
  </sheetData>
  <mergeCells count="1">
    <mergeCell ref="A1:G1"/>
  </mergeCells>
  <phoneticPr fontId="12" type="noConversion"/>
  <pageMargins left="0" right="0" top="0" bottom="0" header="0" footer="0"/>
  <pageSetup paperSize="5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StockGlass">
                <anchor moveWithCells="1" sizeWithCells="1">
                  <from>
                    <xdr:col>9</xdr:col>
                    <xdr:colOff>0</xdr:colOff>
                    <xdr:row>18</xdr:row>
                    <xdr:rowOff>190500</xdr:rowOff>
                  </from>
                  <to>
                    <xdr:col>11</xdr:col>
                    <xdr:colOff>419100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OPY_Glass">
                <anchor moveWithCells="1" sizeWithCells="1">
                  <from>
                    <xdr:col>9</xdr:col>
                    <xdr:colOff>104775</xdr:colOff>
                    <xdr:row>12</xdr:row>
                    <xdr:rowOff>38100</xdr:rowOff>
                  </from>
                  <to>
                    <xdr:col>12</xdr:col>
                    <xdr:colOff>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Button11_Click">
                <anchor moveWithCells="1" sizeWithCells="1">
                  <from>
                    <xdr:col>9</xdr:col>
                    <xdr:colOff>152400</xdr:colOff>
                    <xdr:row>6</xdr:row>
                    <xdr:rowOff>47625</xdr:rowOff>
                  </from>
                  <to>
                    <xdr:col>11</xdr:col>
                    <xdr:colOff>552450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Box, Dana, Poly (4)</vt:lpstr>
      <vt:lpstr>Container (3)</vt:lpstr>
      <vt:lpstr>Sticker (2)</vt:lpstr>
      <vt:lpstr>Sheet1</vt:lpstr>
      <vt:lpstr>Glass</vt:lpstr>
      <vt:lpstr>Box, Dana, Poly (4)!Print_Area</vt:lpstr>
      <vt:lpstr>Container (3)!Print_Area</vt:lpstr>
      <vt:lpstr>Glass!Print_Area</vt:lpstr>
      <vt:lpstr>Sticker (2)!Print_Area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Pankaj</dc:creator>
  <cp:lastModifiedBy>Dell</cp:lastModifiedBy>
  <cp:lastPrinted>2026-06-27T14:09:31Z</cp:lastPrinted>
  <dcterms:created xsi:type="dcterms:W3CDTF">2006-03-30T17:04:42Z</dcterms:created>
  <dcterms:modified xsi:type="dcterms:W3CDTF">2026-06-27T14:10:05Z</dcterms:modified>
</cp:coreProperties>
</file>